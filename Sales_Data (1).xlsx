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aks\OneDrive\Desktop\Data Analyst Projects\Sales Data Analysis Using Excel\Dataset\"/>
    </mc:Choice>
  </mc:AlternateContent>
  <xr:revisionPtr revIDLastSave="0" documentId="13_ncr:1_{3D1183CF-D59B-4A8A-8414-9409B423EC66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w Data" sheetId="1" r:id="rId1"/>
    <sheet name="Data Cleaning" sheetId="2" r:id="rId2"/>
    <sheet name="Pivot Tables" sheetId="3" r:id="rId3"/>
    <sheet name="Dashboard" sheetId="4" r:id="rId4"/>
  </sheets>
  <calcPr calcId="191029"/>
  <pivotCaches>
    <pivotCache cacheId="41" r:id="rId5"/>
    <pivotCache cacheId="4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2" i="1"/>
</calcChain>
</file>

<file path=xl/sharedStrings.xml><?xml version="1.0" encoding="utf-8"?>
<sst xmlns="http://schemas.openxmlformats.org/spreadsheetml/2006/main" count="17058" uniqueCount="1418">
  <si>
    <t>Order ID</t>
  </si>
  <si>
    <t>Order Date</t>
  </si>
  <si>
    <t>Customer Name</t>
  </si>
  <si>
    <t>Region</t>
  </si>
  <si>
    <t>State</t>
  </si>
  <si>
    <t>Category</t>
  </si>
  <si>
    <t>Sub-Category</t>
  </si>
  <si>
    <t>Product Name</t>
  </si>
  <si>
    <t>Sales</t>
  </si>
  <si>
    <t>Quantity</t>
  </si>
  <si>
    <t>Discount</t>
  </si>
  <si>
    <t>Profit</t>
  </si>
  <si>
    <t>ORD1001</t>
  </si>
  <si>
    <t>02-04-2025</t>
  </si>
  <si>
    <t>Karan Patel</t>
  </si>
  <si>
    <t>North</t>
  </si>
  <si>
    <t>Haryana</t>
  </si>
  <si>
    <t>Office Supplies</t>
  </si>
  <si>
    <t>Pen</t>
  </si>
  <si>
    <t>Gel Pen Set</t>
  </si>
  <si>
    <t>0%</t>
  </si>
  <si>
    <t>ORD1002</t>
  </si>
  <si>
    <t>13-11-2025</t>
  </si>
  <si>
    <t>East</t>
  </si>
  <si>
    <t>West Bengal</t>
  </si>
  <si>
    <t>Furniture</t>
  </si>
  <si>
    <t>Bookcase</t>
  </si>
  <si>
    <t>Wooden Bookcase</t>
  </si>
  <si>
    <t>15%</t>
  </si>
  <si>
    <t>ORD1003</t>
  </si>
  <si>
    <t>09-08-2025</t>
  </si>
  <si>
    <t>Simran Kaur</t>
  </si>
  <si>
    <t>South</t>
  </si>
  <si>
    <t>Karnataka</t>
  </si>
  <si>
    <t>20%</t>
  </si>
  <si>
    <t>ORD1004</t>
  </si>
  <si>
    <t>08-05-2025</t>
  </si>
  <si>
    <t>Neha Singh</t>
  </si>
  <si>
    <t>West</t>
  </si>
  <si>
    <t>Gujarat</t>
  </si>
  <si>
    <t>Table</t>
  </si>
  <si>
    <t>Study Table</t>
  </si>
  <si>
    <t>ORD1005</t>
  </si>
  <si>
    <t>21-07-2025</t>
  </si>
  <si>
    <t>Priya Verma</t>
  </si>
  <si>
    <t>Kerala</t>
  </si>
  <si>
    <t>Technology</t>
  </si>
  <si>
    <t>Laptop</t>
  </si>
  <si>
    <t>HP Pavilion</t>
  </si>
  <si>
    <t>5%</t>
  </si>
  <si>
    <t>ORD1006</t>
  </si>
  <si>
    <t>09-11-2025</t>
  </si>
  <si>
    <t>Maharashtra</t>
  </si>
  <si>
    <t>10%</t>
  </si>
  <si>
    <t>ORD1007</t>
  </si>
  <si>
    <t>12-09-2025</t>
  </si>
  <si>
    <t>Anjali Mehta</t>
  </si>
  <si>
    <t>Chair</t>
  </si>
  <si>
    <t>Office Chair</t>
  </si>
  <si>
    <t>ORD1008</t>
  </si>
  <si>
    <t>15-11-2025</t>
  </si>
  <si>
    <t>ORD1009</t>
  </si>
  <si>
    <t>14-08-2025</t>
  </si>
  <si>
    <t>Arjun Rana</t>
  </si>
  <si>
    <t>ORD1010</t>
  </si>
  <si>
    <t>08-03-2025</t>
  </si>
  <si>
    <t>Rohit Gupta</t>
  </si>
  <si>
    <t>Rajasthan</t>
  </si>
  <si>
    <t>ORD1011</t>
  </si>
  <si>
    <t>20-11-2025</t>
  </si>
  <si>
    <t>ORD1012</t>
  </si>
  <si>
    <t>23-04-2025</t>
  </si>
  <si>
    <t>Rahul Sharma</t>
  </si>
  <si>
    <t>Delhi</t>
  </si>
  <si>
    <t>ORD1013</t>
  </si>
  <si>
    <t>16-12-2025</t>
  </si>
  <si>
    <t>Binder</t>
  </si>
  <si>
    <t>A4 Binder</t>
  </si>
  <si>
    <t>ORD1014</t>
  </si>
  <si>
    <t>25-01-2025</t>
  </si>
  <si>
    <t>ORD1015</t>
  </si>
  <si>
    <t>28-06-2025</t>
  </si>
  <si>
    <t>Odisha</t>
  </si>
  <si>
    <t>ORD1016</t>
  </si>
  <si>
    <t>29-11-2025</t>
  </si>
  <si>
    <t>ORD1017</t>
  </si>
  <si>
    <t>11-01-2025</t>
  </si>
  <si>
    <t>Mobile</t>
  </si>
  <si>
    <t>Samsung Galaxy</t>
  </si>
  <si>
    <t>ORD1018</t>
  </si>
  <si>
    <t>07-12-2025</t>
  </si>
  <si>
    <t>Sneha Joshi</t>
  </si>
  <si>
    <t>ORD1019</t>
  </si>
  <si>
    <t>21-04-2025</t>
  </si>
  <si>
    <t>Accessories</t>
  </si>
  <si>
    <t>Wireless Mouse</t>
  </si>
  <si>
    <t>ORD1020</t>
  </si>
  <si>
    <t>19-08-2025</t>
  </si>
  <si>
    <t>ORD1021</t>
  </si>
  <si>
    <t>19-06-2025</t>
  </si>
  <si>
    <t>ORD1022</t>
  </si>
  <si>
    <t>20-08-2025</t>
  </si>
  <si>
    <t>ORD1023</t>
  </si>
  <si>
    <t>10-04-2025</t>
  </si>
  <si>
    <t>Paper</t>
  </si>
  <si>
    <t>A4 Paper Pack</t>
  </si>
  <si>
    <t>ORD1024</t>
  </si>
  <si>
    <t>31-10-2025</t>
  </si>
  <si>
    <t>ORD1025</t>
  </si>
  <si>
    <t>28-12-2025</t>
  </si>
  <si>
    <t>ORD1026</t>
  </si>
  <si>
    <t>15-06-2025</t>
  </si>
  <si>
    <t>ORD1027</t>
  </si>
  <si>
    <t>02-07-2025</t>
  </si>
  <si>
    <t>ORD1028</t>
  </si>
  <si>
    <t>12-02-2025</t>
  </si>
  <si>
    <t>Tamil Nadu</t>
  </si>
  <si>
    <t>ORD1029</t>
  </si>
  <si>
    <t>01-10-2025</t>
  </si>
  <si>
    <t>ORD1030</t>
  </si>
  <si>
    <t>26-02-2025</t>
  </si>
  <si>
    <t>Amit Kumar</t>
  </si>
  <si>
    <t>ORD1031</t>
  </si>
  <si>
    <t>20-10-2025</t>
  </si>
  <si>
    <t>ORD1032</t>
  </si>
  <si>
    <t>04-02-2025</t>
  </si>
  <si>
    <t>ORD1033</t>
  </si>
  <si>
    <t>ORD1034</t>
  </si>
  <si>
    <t>01-07-2025</t>
  </si>
  <si>
    <t>Bihar</t>
  </si>
  <si>
    <t>ORD1035</t>
  </si>
  <si>
    <t>10-02-2025</t>
  </si>
  <si>
    <t>ORD1036</t>
  </si>
  <si>
    <t>26-01-2025</t>
  </si>
  <si>
    <t>ORD1037</t>
  </si>
  <si>
    <t>12-12-2025</t>
  </si>
  <si>
    <t>ORD1038</t>
  </si>
  <si>
    <t>25-11-2025</t>
  </si>
  <si>
    <t>ORD1039</t>
  </si>
  <si>
    <t>22-07-2025</t>
  </si>
  <si>
    <t>ORD1040</t>
  </si>
  <si>
    <t>29-12-2025</t>
  </si>
  <si>
    <t>ORD1041</t>
  </si>
  <si>
    <t>09-06-2025</t>
  </si>
  <si>
    <t>ORD1042</t>
  </si>
  <si>
    <t>21-06-2025</t>
  </si>
  <si>
    <t>ORD1043</t>
  </si>
  <si>
    <t>02-11-2025</t>
  </si>
  <si>
    <t>ORD1044</t>
  </si>
  <si>
    <t>21-05-2025</t>
  </si>
  <si>
    <t>ORD1045</t>
  </si>
  <si>
    <t>08-01-2025</t>
  </si>
  <si>
    <t>ORD1046</t>
  </si>
  <si>
    <t>14-03-2025</t>
  </si>
  <si>
    <t>Punjab</t>
  </si>
  <si>
    <t>ORD1047</t>
  </si>
  <si>
    <t>04-05-2025</t>
  </si>
  <si>
    <t>ORD1048</t>
  </si>
  <si>
    <t>29-08-2025</t>
  </si>
  <si>
    <t>ORD1049</t>
  </si>
  <si>
    <t>02-05-2025</t>
  </si>
  <si>
    <t>ORD1050</t>
  </si>
  <si>
    <t>05-06-2025</t>
  </si>
  <si>
    <t>ORD1051</t>
  </si>
  <si>
    <t>13-02-2025</t>
  </si>
  <si>
    <t>ORD1052</t>
  </si>
  <si>
    <t>16-04-2025</t>
  </si>
  <si>
    <t>ORD1053</t>
  </si>
  <si>
    <t>ORD1054</t>
  </si>
  <si>
    <t>ORD1055</t>
  </si>
  <si>
    <t>24-06-2025</t>
  </si>
  <si>
    <t>ORD1056</t>
  </si>
  <si>
    <t>08-12-2025</t>
  </si>
  <si>
    <t>ORD1057</t>
  </si>
  <si>
    <t>08-02-2025</t>
  </si>
  <si>
    <t>ORD1058</t>
  </si>
  <si>
    <t>12-10-2025</t>
  </si>
  <si>
    <t>ORD1059</t>
  </si>
  <si>
    <t>10-03-2025</t>
  </si>
  <si>
    <t>ORD1060</t>
  </si>
  <si>
    <t>16-06-2025</t>
  </si>
  <si>
    <t>ORD1061</t>
  </si>
  <si>
    <t>19-11-2025</t>
  </si>
  <si>
    <t>ORD1062</t>
  </si>
  <si>
    <t>30-05-2025</t>
  </si>
  <si>
    <t>ORD1063</t>
  </si>
  <si>
    <t>28-07-2025</t>
  </si>
  <si>
    <t>ORD1064</t>
  </si>
  <si>
    <t>ORD1065</t>
  </si>
  <si>
    <t>16-07-2025</t>
  </si>
  <si>
    <t>ORD1066</t>
  </si>
  <si>
    <t>23-07-2025</t>
  </si>
  <si>
    <t>ORD1067</t>
  </si>
  <si>
    <t>ORD1068</t>
  </si>
  <si>
    <t>01-05-2025</t>
  </si>
  <si>
    <t>ORD1069</t>
  </si>
  <si>
    <t>06-11-2025</t>
  </si>
  <si>
    <t>ORD1070</t>
  </si>
  <si>
    <t>02-12-2025</t>
  </si>
  <si>
    <t>ORD1071</t>
  </si>
  <si>
    <t>01-11-2025</t>
  </si>
  <si>
    <t>ORD1072</t>
  </si>
  <si>
    <t>11-08-2025</t>
  </si>
  <si>
    <t>ORD1073</t>
  </si>
  <si>
    <t>05-03-2025</t>
  </si>
  <si>
    <t>ORD1074</t>
  </si>
  <si>
    <t>20-12-2025</t>
  </si>
  <si>
    <t>ORD1075</t>
  </si>
  <si>
    <t>11-09-2025</t>
  </si>
  <si>
    <t>ORD1076</t>
  </si>
  <si>
    <t>30-04-2025</t>
  </si>
  <si>
    <t>ORD1077</t>
  </si>
  <si>
    <t>12-05-2025</t>
  </si>
  <si>
    <t>ORD1078</t>
  </si>
  <si>
    <t>ORD1079</t>
  </si>
  <si>
    <t>31-12-2025</t>
  </si>
  <si>
    <t>ORD1080</t>
  </si>
  <si>
    <t>ORD1081</t>
  </si>
  <si>
    <t>31-08-2025</t>
  </si>
  <si>
    <t>ORD1082</t>
  </si>
  <si>
    <t>15-12-2025</t>
  </si>
  <si>
    <t>ORD1083</t>
  </si>
  <si>
    <t>28-01-2025</t>
  </si>
  <si>
    <t>ORD1084</t>
  </si>
  <si>
    <t>02-03-2025</t>
  </si>
  <si>
    <t>ORD1085</t>
  </si>
  <si>
    <t>30-12-2025</t>
  </si>
  <si>
    <t>ORD1086</t>
  </si>
  <si>
    <t>ORD1087</t>
  </si>
  <si>
    <t>ORD1088</t>
  </si>
  <si>
    <t>17-11-2025</t>
  </si>
  <si>
    <t>ORD1089</t>
  </si>
  <si>
    <t>05-08-2025</t>
  </si>
  <si>
    <t>ORD1090</t>
  </si>
  <si>
    <t>03-08-2025</t>
  </si>
  <si>
    <t>ORD1091</t>
  </si>
  <si>
    <t>09-09-2025</t>
  </si>
  <si>
    <t>ORD1092</t>
  </si>
  <si>
    <t>08-10-2025</t>
  </si>
  <si>
    <t>ORD1093</t>
  </si>
  <si>
    <t>06-08-2025</t>
  </si>
  <si>
    <t>ORD1094</t>
  </si>
  <si>
    <t>ORD1095</t>
  </si>
  <si>
    <t>24-03-2025</t>
  </si>
  <si>
    <t>ORD1096</t>
  </si>
  <si>
    <t>27-04-2025</t>
  </si>
  <si>
    <t>ORD1097</t>
  </si>
  <si>
    <t>13-08-2025</t>
  </si>
  <si>
    <t>ORD1098</t>
  </si>
  <si>
    <t>06-05-2025</t>
  </si>
  <si>
    <t>ORD1099</t>
  </si>
  <si>
    <t>01-01-2025</t>
  </si>
  <si>
    <t>ORD1100</t>
  </si>
  <si>
    <t>ORD1101</t>
  </si>
  <si>
    <t>ORD1102</t>
  </si>
  <si>
    <t>07-07-2025</t>
  </si>
  <si>
    <t>ORD1103</t>
  </si>
  <si>
    <t>08-06-2025</t>
  </si>
  <si>
    <t>ORD1104</t>
  </si>
  <si>
    <t>ORD1105</t>
  </si>
  <si>
    <t>23-11-2025</t>
  </si>
  <si>
    <t>ORD1106</t>
  </si>
  <si>
    <t>27-06-2025</t>
  </si>
  <si>
    <t>ORD1107</t>
  </si>
  <si>
    <t>28-11-2025</t>
  </si>
  <si>
    <t>ORD1108</t>
  </si>
  <si>
    <t>27-10-2025</t>
  </si>
  <si>
    <t>ORD1109</t>
  </si>
  <si>
    <t>18-07-2025</t>
  </si>
  <si>
    <t>ORD1110</t>
  </si>
  <si>
    <t>ORD1111</t>
  </si>
  <si>
    <t>13-03-2025</t>
  </si>
  <si>
    <t>ORD1112</t>
  </si>
  <si>
    <t>ORD1113</t>
  </si>
  <si>
    <t>17-02-2025</t>
  </si>
  <si>
    <t>ORD1114</t>
  </si>
  <si>
    <t>ORD1115</t>
  </si>
  <si>
    <t>07-01-2025</t>
  </si>
  <si>
    <t>ORD1116</t>
  </si>
  <si>
    <t>28-03-2025</t>
  </si>
  <si>
    <t>ORD1117</t>
  </si>
  <si>
    <t>08-08-2025</t>
  </si>
  <si>
    <t>ORD1118</t>
  </si>
  <si>
    <t>14-07-2025</t>
  </si>
  <si>
    <t>ORD1119</t>
  </si>
  <si>
    <t>16-02-2025</t>
  </si>
  <si>
    <t>ORD1120</t>
  </si>
  <si>
    <t>30-07-2025</t>
  </si>
  <si>
    <t>ORD1121</t>
  </si>
  <si>
    <t>ORD1122</t>
  </si>
  <si>
    <t>29-09-2025</t>
  </si>
  <si>
    <t>ORD1123</t>
  </si>
  <si>
    <t>25-10-2025</t>
  </si>
  <si>
    <t>ORD1124</t>
  </si>
  <si>
    <t>ORD1125</t>
  </si>
  <si>
    <t>19-02-2025</t>
  </si>
  <si>
    <t>ORD1126</t>
  </si>
  <si>
    <t>17-05-2025</t>
  </si>
  <si>
    <t>ORD1127</t>
  </si>
  <si>
    <t>06-09-2025</t>
  </si>
  <si>
    <t>ORD1128</t>
  </si>
  <si>
    <t>20-04-2025</t>
  </si>
  <si>
    <t>ORD1129</t>
  </si>
  <si>
    <t>ORD1130</t>
  </si>
  <si>
    <t>02-01-2025</t>
  </si>
  <si>
    <t>ORD1131</t>
  </si>
  <si>
    <t>03-06-2025</t>
  </si>
  <si>
    <t>ORD1132</t>
  </si>
  <si>
    <t>14-09-2025</t>
  </si>
  <si>
    <t>ORD1133</t>
  </si>
  <si>
    <t>ORD1134</t>
  </si>
  <si>
    <t>ORD1135</t>
  </si>
  <si>
    <t>07-03-2025</t>
  </si>
  <si>
    <t>ORD1136</t>
  </si>
  <si>
    <t>13-07-2025</t>
  </si>
  <si>
    <t>ORD1137</t>
  </si>
  <si>
    <t>ORD1138</t>
  </si>
  <si>
    <t>ORD1139</t>
  </si>
  <si>
    <t>ORD1140</t>
  </si>
  <si>
    <t>25-07-2025</t>
  </si>
  <si>
    <t>ORD1141</t>
  </si>
  <si>
    <t>14-06-2025</t>
  </si>
  <si>
    <t>ORD1142</t>
  </si>
  <si>
    <t>ORD1143</t>
  </si>
  <si>
    <t>28-09-2025</t>
  </si>
  <si>
    <t>ORD1144</t>
  </si>
  <si>
    <t>04-03-2025</t>
  </si>
  <si>
    <t>ORD1145</t>
  </si>
  <si>
    <t>07-11-2025</t>
  </si>
  <si>
    <t>ORD1146</t>
  </si>
  <si>
    <t>30-09-2025</t>
  </si>
  <si>
    <t>ORD1147</t>
  </si>
  <si>
    <t>24-11-2025</t>
  </si>
  <si>
    <t>ORD1148</t>
  </si>
  <si>
    <t>05-12-2025</t>
  </si>
  <si>
    <t>ORD1149</t>
  </si>
  <si>
    <t>17-07-2025</t>
  </si>
  <si>
    <t>ORD1150</t>
  </si>
  <si>
    <t>29-05-2025</t>
  </si>
  <si>
    <t>ORD1151</t>
  </si>
  <si>
    <t>18-10-2025</t>
  </si>
  <si>
    <t>ORD1152</t>
  </si>
  <si>
    <t>ORD1153</t>
  </si>
  <si>
    <t>09-05-2025</t>
  </si>
  <si>
    <t>ORD1154</t>
  </si>
  <si>
    <t>23-05-2025</t>
  </si>
  <si>
    <t>ORD1155</t>
  </si>
  <si>
    <t>ORD1156</t>
  </si>
  <si>
    <t>26-09-2025</t>
  </si>
  <si>
    <t>ORD1157</t>
  </si>
  <si>
    <t>ORD1158</t>
  </si>
  <si>
    <t>20-06-2025</t>
  </si>
  <si>
    <t>ORD1159</t>
  </si>
  <si>
    <t>05-05-2025</t>
  </si>
  <si>
    <t>ORD1160</t>
  </si>
  <si>
    <t>ORD1161</t>
  </si>
  <si>
    <t>08-07-2025</t>
  </si>
  <si>
    <t>ORD1162</t>
  </si>
  <si>
    <t>16-05-2025</t>
  </si>
  <si>
    <t>ORD1163</t>
  </si>
  <si>
    <t>23-09-2025</t>
  </si>
  <si>
    <t>ORD1164</t>
  </si>
  <si>
    <t>26-11-2025</t>
  </si>
  <si>
    <t>ORD1165</t>
  </si>
  <si>
    <t>ORD1166</t>
  </si>
  <si>
    <t>24-05-2025</t>
  </si>
  <si>
    <t>ORD1167</t>
  </si>
  <si>
    <t>11-07-2025</t>
  </si>
  <si>
    <t>ORD1168</t>
  </si>
  <si>
    <t>01-12-2025</t>
  </si>
  <si>
    <t>ORD1169</t>
  </si>
  <si>
    <t>03-11-2025</t>
  </si>
  <si>
    <t>ORD1170</t>
  </si>
  <si>
    <t>31-05-2025</t>
  </si>
  <si>
    <t>ORD1171</t>
  </si>
  <si>
    <t>21-11-2025</t>
  </si>
  <si>
    <t>ORD1172</t>
  </si>
  <si>
    <t>22-02-2025</t>
  </si>
  <si>
    <t>ORD1173</t>
  </si>
  <si>
    <t>21-03-2025</t>
  </si>
  <si>
    <t>ORD1174</t>
  </si>
  <si>
    <t>09-10-2025</t>
  </si>
  <si>
    <t>ORD1175</t>
  </si>
  <si>
    <t>ORD1176</t>
  </si>
  <si>
    <t>09-04-2025</t>
  </si>
  <si>
    <t>ORD1177</t>
  </si>
  <si>
    <t>ORD1178</t>
  </si>
  <si>
    <t>22-09-2025</t>
  </si>
  <si>
    <t>ORD1179</t>
  </si>
  <si>
    <t>ORD1180</t>
  </si>
  <si>
    <t>15-02-2025</t>
  </si>
  <si>
    <t>ORD1181</t>
  </si>
  <si>
    <t>30-11-2025</t>
  </si>
  <si>
    <t>ORD1182</t>
  </si>
  <si>
    <t>07-10-2025</t>
  </si>
  <si>
    <t>ORD1183</t>
  </si>
  <si>
    <t>ORD1184</t>
  </si>
  <si>
    <t>05-07-2025</t>
  </si>
  <si>
    <t>ORD1185</t>
  </si>
  <si>
    <t>27-02-2025</t>
  </si>
  <si>
    <t>ORD1186</t>
  </si>
  <si>
    <t>11-11-2025</t>
  </si>
  <si>
    <t>ORD1187</t>
  </si>
  <si>
    <t>ORD1188</t>
  </si>
  <si>
    <t>ORD1189</t>
  </si>
  <si>
    <t>ORD1190</t>
  </si>
  <si>
    <t>05-04-2025</t>
  </si>
  <si>
    <t>ORD1191</t>
  </si>
  <si>
    <t>ORD1192</t>
  </si>
  <si>
    <t>ORD1193</t>
  </si>
  <si>
    <t>20-01-2025</t>
  </si>
  <si>
    <t>ORD1194</t>
  </si>
  <si>
    <t>ORD1195</t>
  </si>
  <si>
    <t>27-05-2025</t>
  </si>
  <si>
    <t>ORD1196</t>
  </si>
  <si>
    <t>ORD1197</t>
  </si>
  <si>
    <t>19-09-2025</t>
  </si>
  <si>
    <t>ORD1198</t>
  </si>
  <si>
    <t>ORD1199</t>
  </si>
  <si>
    <t>ORD1200</t>
  </si>
  <si>
    <t>04-08-2025</t>
  </si>
  <si>
    <t>ORD1201</t>
  </si>
  <si>
    <t>ORD1202</t>
  </si>
  <si>
    <t>16-10-2025</t>
  </si>
  <si>
    <t>ORD1203</t>
  </si>
  <si>
    <t>ORD1204</t>
  </si>
  <si>
    <t>11-10-2025</t>
  </si>
  <si>
    <t>ORD1205</t>
  </si>
  <si>
    <t>ORD1206</t>
  </si>
  <si>
    <t>ORD1207</t>
  </si>
  <si>
    <t>15-03-2025</t>
  </si>
  <si>
    <t>ORD1208</t>
  </si>
  <si>
    <t>ORD1209</t>
  </si>
  <si>
    <t>02-08-2025</t>
  </si>
  <si>
    <t>ORD1210</t>
  </si>
  <si>
    <t>ORD1211</t>
  </si>
  <si>
    <t>ORD1212</t>
  </si>
  <si>
    <t>10-07-2025</t>
  </si>
  <si>
    <t>ORD1213</t>
  </si>
  <si>
    <t>20-05-2025</t>
  </si>
  <si>
    <t>ORD1214</t>
  </si>
  <si>
    <t>ORD1215</t>
  </si>
  <si>
    <t>ORD1216</t>
  </si>
  <si>
    <t>29-06-2025</t>
  </si>
  <si>
    <t>ORD1217</t>
  </si>
  <si>
    <t>26-04-2025</t>
  </si>
  <si>
    <t>ORD1218</t>
  </si>
  <si>
    <t>11-06-2025</t>
  </si>
  <si>
    <t>ORD1219</t>
  </si>
  <si>
    <t>ORD1220</t>
  </si>
  <si>
    <t>18-09-2025</t>
  </si>
  <si>
    <t>ORD1221</t>
  </si>
  <si>
    <t>ORD1222</t>
  </si>
  <si>
    <t>20-09-2025</t>
  </si>
  <si>
    <t>ORD1223</t>
  </si>
  <si>
    <t>ORD1224</t>
  </si>
  <si>
    <t>13-09-2025</t>
  </si>
  <si>
    <t>ORD1225</t>
  </si>
  <si>
    <t>ORD1226</t>
  </si>
  <si>
    <t>ORD1227</t>
  </si>
  <si>
    <t>15-10-2025</t>
  </si>
  <si>
    <t>ORD1228</t>
  </si>
  <si>
    <t>ORD1229</t>
  </si>
  <si>
    <t>ORD1230</t>
  </si>
  <si>
    <t>ORD1231</t>
  </si>
  <si>
    <t>15-09-2025</t>
  </si>
  <si>
    <t>ORD1232</t>
  </si>
  <si>
    <t>ORD1233</t>
  </si>
  <si>
    <t>19-04-2025</t>
  </si>
  <si>
    <t>ORD1234</t>
  </si>
  <si>
    <t>24-02-2025</t>
  </si>
  <si>
    <t>ORD1235</t>
  </si>
  <si>
    <t>18-01-2025</t>
  </si>
  <si>
    <t>ORD1236</t>
  </si>
  <si>
    <t>ORD1237</t>
  </si>
  <si>
    <t>21-12-2025</t>
  </si>
  <si>
    <t>ORD1238</t>
  </si>
  <si>
    <t>ORD1239</t>
  </si>
  <si>
    <t>12-04-2025</t>
  </si>
  <si>
    <t>ORD1240</t>
  </si>
  <si>
    <t>25-02-2025</t>
  </si>
  <si>
    <t>ORD1241</t>
  </si>
  <si>
    <t>ORD1242</t>
  </si>
  <si>
    <t>ORD1243</t>
  </si>
  <si>
    <t>ORD1244</t>
  </si>
  <si>
    <t>14-02-2025</t>
  </si>
  <si>
    <t>ORD1245</t>
  </si>
  <si>
    <t>11-02-2025</t>
  </si>
  <si>
    <t>ORD1246</t>
  </si>
  <si>
    <t>11-03-2025</t>
  </si>
  <si>
    <t>ORD1247</t>
  </si>
  <si>
    <t>03-07-2025</t>
  </si>
  <si>
    <t>ORD1248</t>
  </si>
  <si>
    <t>ORD1249</t>
  </si>
  <si>
    <t>ORD1250</t>
  </si>
  <si>
    <t>25-12-2025</t>
  </si>
  <si>
    <t>ORD1251</t>
  </si>
  <si>
    <t>ORD1252</t>
  </si>
  <si>
    <t>ORD1253</t>
  </si>
  <si>
    <t>18-12-2025</t>
  </si>
  <si>
    <t>ORD1254</t>
  </si>
  <si>
    <t>ORD1255</t>
  </si>
  <si>
    <t>18-05-2025</t>
  </si>
  <si>
    <t>ORD1256</t>
  </si>
  <si>
    <t>04-09-2025</t>
  </si>
  <si>
    <t>ORD1257</t>
  </si>
  <si>
    <t>22-10-2025</t>
  </si>
  <si>
    <t>ORD1258</t>
  </si>
  <si>
    <t>24-09-2025</t>
  </si>
  <si>
    <t>ORD1259</t>
  </si>
  <si>
    <t>12-07-2025</t>
  </si>
  <si>
    <t>ORD1260</t>
  </si>
  <si>
    <t>29-07-2025</t>
  </si>
  <si>
    <t>ORD1261</t>
  </si>
  <si>
    <t>15-08-2025</t>
  </si>
  <si>
    <t>ORD1262</t>
  </si>
  <si>
    <t>23-10-2025</t>
  </si>
  <si>
    <t>ORD1263</t>
  </si>
  <si>
    <t>18-08-2025</t>
  </si>
  <si>
    <t>ORD1264</t>
  </si>
  <si>
    <t>ORD1265</t>
  </si>
  <si>
    <t>ORD1266</t>
  </si>
  <si>
    <t>ORD1267</t>
  </si>
  <si>
    <t>09-12-2025</t>
  </si>
  <si>
    <t>ORD1268</t>
  </si>
  <si>
    <t>ORD1269</t>
  </si>
  <si>
    <t>ORD1270</t>
  </si>
  <si>
    <t>ORD1271</t>
  </si>
  <si>
    <t>ORD1272</t>
  </si>
  <si>
    <t>ORD1273</t>
  </si>
  <si>
    <t>ORD1274</t>
  </si>
  <si>
    <t>ORD1275</t>
  </si>
  <si>
    <t>11-05-2025</t>
  </si>
  <si>
    <t>ORD1276</t>
  </si>
  <si>
    <t>ORD1277</t>
  </si>
  <si>
    <t>11-04-2025</t>
  </si>
  <si>
    <t>ORD1278</t>
  </si>
  <si>
    <t>ORD1279</t>
  </si>
  <si>
    <t>ORD1280</t>
  </si>
  <si>
    <t>24-10-2025</t>
  </si>
  <si>
    <t>ORD1281</t>
  </si>
  <si>
    <t>22-03-2025</t>
  </si>
  <si>
    <t>ORD1282</t>
  </si>
  <si>
    <t>08-04-2025</t>
  </si>
  <si>
    <t>ORD1283</t>
  </si>
  <si>
    <t>ORD1284</t>
  </si>
  <si>
    <t>ORD1285</t>
  </si>
  <si>
    <t>ORD1286</t>
  </si>
  <si>
    <t>02-02-2025</t>
  </si>
  <si>
    <t>ORD1287</t>
  </si>
  <si>
    <t>03-05-2025</t>
  </si>
  <si>
    <t>ORD1288</t>
  </si>
  <si>
    <t>ORD1289</t>
  </si>
  <si>
    <t>ORD1290</t>
  </si>
  <si>
    <t>ORD1291</t>
  </si>
  <si>
    <t>24-12-2025</t>
  </si>
  <si>
    <t>ORD1292</t>
  </si>
  <si>
    <t>ORD1293</t>
  </si>
  <si>
    <t>ORD1294</t>
  </si>
  <si>
    <t>17-08-2025</t>
  </si>
  <si>
    <t>ORD1295</t>
  </si>
  <si>
    <t>16-11-2025</t>
  </si>
  <si>
    <t>ORD1296</t>
  </si>
  <si>
    <t>ORD1297</t>
  </si>
  <si>
    <t>21-09-2025</t>
  </si>
  <si>
    <t>ORD1298</t>
  </si>
  <si>
    <t>ORD1299</t>
  </si>
  <si>
    <t>14-10-2025</t>
  </si>
  <si>
    <t>ORD1300</t>
  </si>
  <si>
    <t>ORD1301</t>
  </si>
  <si>
    <t>03-12-2025</t>
  </si>
  <si>
    <t>ORD1302</t>
  </si>
  <si>
    <t>17-09-2025</t>
  </si>
  <si>
    <t>ORD1303</t>
  </si>
  <si>
    <t>ORD1304</t>
  </si>
  <si>
    <t>ORD1305</t>
  </si>
  <si>
    <t>ORD1306</t>
  </si>
  <si>
    <t>12-11-2025</t>
  </si>
  <si>
    <t>ORD1307</t>
  </si>
  <si>
    <t>ORD1308</t>
  </si>
  <si>
    <t>ORD1309</t>
  </si>
  <si>
    <t>ORD1310</t>
  </si>
  <si>
    <t>ORD1311</t>
  </si>
  <si>
    <t>20-02-2025</t>
  </si>
  <si>
    <t>ORD1312</t>
  </si>
  <si>
    <t>ORD1313</t>
  </si>
  <si>
    <t>ORD1314</t>
  </si>
  <si>
    <t>26-10-2025</t>
  </si>
  <si>
    <t>ORD1315</t>
  </si>
  <si>
    <t>24-04-2025</t>
  </si>
  <si>
    <t>ORD1316</t>
  </si>
  <si>
    <t>ORD1317</t>
  </si>
  <si>
    <t>25-08-2025</t>
  </si>
  <si>
    <t>ORD1318</t>
  </si>
  <si>
    <t>29-10-2025</t>
  </si>
  <si>
    <t>ORD1319</t>
  </si>
  <si>
    <t>ORD1320</t>
  </si>
  <si>
    <t>30-06-2025</t>
  </si>
  <si>
    <t>ORD1321</t>
  </si>
  <si>
    <t>ORD1322</t>
  </si>
  <si>
    <t>22-06-2025</t>
  </si>
  <si>
    <t>ORD1323</t>
  </si>
  <si>
    <t>25-09-2025</t>
  </si>
  <si>
    <t>ORD1324</t>
  </si>
  <si>
    <t>01-04-2025</t>
  </si>
  <si>
    <t>ORD1325</t>
  </si>
  <si>
    <t>05-01-2025</t>
  </si>
  <si>
    <t>ORD1326</t>
  </si>
  <si>
    <t>28-10-2025</t>
  </si>
  <si>
    <t>ORD1327</t>
  </si>
  <si>
    <t>08-09-2025</t>
  </si>
  <si>
    <t>ORD1328</t>
  </si>
  <si>
    <t>23-08-2025</t>
  </si>
  <si>
    <t>ORD1329</t>
  </si>
  <si>
    <t>10-10-2025</t>
  </si>
  <si>
    <t>ORD1330</t>
  </si>
  <si>
    <t>23-01-2025</t>
  </si>
  <si>
    <t>ORD1331</t>
  </si>
  <si>
    <t>ORD1332</t>
  </si>
  <si>
    <t>ORD1333</t>
  </si>
  <si>
    <t>11-12-2025</t>
  </si>
  <si>
    <t>ORD1334</t>
  </si>
  <si>
    <t>ORD1335</t>
  </si>
  <si>
    <t>10-09-2025</t>
  </si>
  <si>
    <t>ORD1336</t>
  </si>
  <si>
    <t>ORD1337</t>
  </si>
  <si>
    <t>04-06-2025</t>
  </si>
  <si>
    <t>ORD1338</t>
  </si>
  <si>
    <t>ORD1339</t>
  </si>
  <si>
    <t>ORD1340</t>
  </si>
  <si>
    <t>ORD1341</t>
  </si>
  <si>
    <t>10-08-2025</t>
  </si>
  <si>
    <t>ORD1342</t>
  </si>
  <si>
    <t>ORD1343</t>
  </si>
  <si>
    <t>13-01-2025</t>
  </si>
  <si>
    <t>ORD1344</t>
  </si>
  <si>
    <t>21-08-2025</t>
  </si>
  <si>
    <t>ORD1345</t>
  </si>
  <si>
    <t>ORD1346</t>
  </si>
  <si>
    <t>ORD1347</t>
  </si>
  <si>
    <t>ORD1348</t>
  </si>
  <si>
    <t>06-02-2025</t>
  </si>
  <si>
    <t>ORD1349</t>
  </si>
  <si>
    <t>27-07-2025</t>
  </si>
  <si>
    <t>ORD1350</t>
  </si>
  <si>
    <t>03-10-2025</t>
  </si>
  <si>
    <t>ORD1351</t>
  </si>
  <si>
    <t>21-02-2025</t>
  </si>
  <si>
    <t>ORD1352</t>
  </si>
  <si>
    <t>ORD1353</t>
  </si>
  <si>
    <t>ORD1354</t>
  </si>
  <si>
    <t>ORD1355</t>
  </si>
  <si>
    <t>22-12-2025</t>
  </si>
  <si>
    <t>ORD1356</t>
  </si>
  <si>
    <t>19-10-2025</t>
  </si>
  <si>
    <t>ORD1357</t>
  </si>
  <si>
    <t>19-07-2025</t>
  </si>
  <si>
    <t>ORD1358</t>
  </si>
  <si>
    <t>ORD1359</t>
  </si>
  <si>
    <t>13-10-2025</t>
  </si>
  <si>
    <t>ORD1360</t>
  </si>
  <si>
    <t>26-12-2025</t>
  </si>
  <si>
    <t>ORD1361</t>
  </si>
  <si>
    <t>ORD1362</t>
  </si>
  <si>
    <t>25-06-2025</t>
  </si>
  <si>
    <t>ORD1363</t>
  </si>
  <si>
    <t>ORD1364</t>
  </si>
  <si>
    <t>ORD1365</t>
  </si>
  <si>
    <t>ORD1366</t>
  </si>
  <si>
    <t>ORD1367</t>
  </si>
  <si>
    <t>ORD1368</t>
  </si>
  <si>
    <t>ORD1369</t>
  </si>
  <si>
    <t>ORD1370</t>
  </si>
  <si>
    <t>03-01-2025</t>
  </si>
  <si>
    <t>ORD1371</t>
  </si>
  <si>
    <t>ORD1372</t>
  </si>
  <si>
    <t>ORD1373</t>
  </si>
  <si>
    <t>16-01-2025</t>
  </si>
  <si>
    <t>ORD1374</t>
  </si>
  <si>
    <t>ORD1375</t>
  </si>
  <si>
    <t>22-05-2025</t>
  </si>
  <si>
    <t>ORD1376</t>
  </si>
  <si>
    <t>ORD1377</t>
  </si>
  <si>
    <t>ORD1378</t>
  </si>
  <si>
    <t>ORD1379</t>
  </si>
  <si>
    <t>07-05-2025</t>
  </si>
  <si>
    <t>ORD1380</t>
  </si>
  <si>
    <t>18-06-2025</t>
  </si>
  <si>
    <t>ORD1381</t>
  </si>
  <si>
    <t>ORD1382</t>
  </si>
  <si>
    <t>30-08-2025</t>
  </si>
  <si>
    <t>ORD1383</t>
  </si>
  <si>
    <t>ORD1384</t>
  </si>
  <si>
    <t>ORD1385</t>
  </si>
  <si>
    <t>ORD1386</t>
  </si>
  <si>
    <t>ORD1387</t>
  </si>
  <si>
    <t>ORD1388</t>
  </si>
  <si>
    <t>ORD1389</t>
  </si>
  <si>
    <t>04-07-2025</t>
  </si>
  <si>
    <t>ORD1390</t>
  </si>
  <si>
    <t>ORD1391</t>
  </si>
  <si>
    <t>ORD1392</t>
  </si>
  <si>
    <t>09-01-2025</t>
  </si>
  <si>
    <t>ORD1393</t>
  </si>
  <si>
    <t>ORD1394</t>
  </si>
  <si>
    <t>12-03-2025</t>
  </si>
  <si>
    <t>ORD1395</t>
  </si>
  <si>
    <t>28-02-2025</t>
  </si>
  <si>
    <t>ORD1396</t>
  </si>
  <si>
    <t>ORD1397</t>
  </si>
  <si>
    <t>ORD1398</t>
  </si>
  <si>
    <t>ORD1399</t>
  </si>
  <si>
    <t>04-01-2025</t>
  </si>
  <si>
    <t>ORD1400</t>
  </si>
  <si>
    <t>ORD1401</t>
  </si>
  <si>
    <t>03-02-2025</t>
  </si>
  <si>
    <t>ORD1402</t>
  </si>
  <si>
    <t>ORD1403</t>
  </si>
  <si>
    <t>ORD1404</t>
  </si>
  <si>
    <t>14-05-2025</t>
  </si>
  <si>
    <t>ORD1405</t>
  </si>
  <si>
    <t>17-06-2025</t>
  </si>
  <si>
    <t>ORD1406</t>
  </si>
  <si>
    <t>ORD1407</t>
  </si>
  <si>
    <t>ORD1408</t>
  </si>
  <si>
    <t>18-02-2025</t>
  </si>
  <si>
    <t>ORD1409</t>
  </si>
  <si>
    <t>ORD1410</t>
  </si>
  <si>
    <t>ORD1411</t>
  </si>
  <si>
    <t>ORD1412</t>
  </si>
  <si>
    <t>ORD1413</t>
  </si>
  <si>
    <t>ORD1414</t>
  </si>
  <si>
    <t>09-03-2025</t>
  </si>
  <si>
    <t>ORD1415</t>
  </si>
  <si>
    <t>ORD1416</t>
  </si>
  <si>
    <t>ORD1417</t>
  </si>
  <si>
    <t>ORD1418</t>
  </si>
  <si>
    <t>27-09-2025</t>
  </si>
  <si>
    <t>ORD1419</t>
  </si>
  <si>
    <t>ORD1420</t>
  </si>
  <si>
    <t>18-11-2025</t>
  </si>
  <si>
    <t>ORD1421</t>
  </si>
  <si>
    <t>ORD1422</t>
  </si>
  <si>
    <t>ORD1423</t>
  </si>
  <si>
    <t>ORD1424</t>
  </si>
  <si>
    <t>26-03-2025</t>
  </si>
  <si>
    <t>ORD1425</t>
  </si>
  <si>
    <t>06-06-2025</t>
  </si>
  <si>
    <t>ORD1426</t>
  </si>
  <si>
    <t>14-11-2025</t>
  </si>
  <si>
    <t>ORD1427</t>
  </si>
  <si>
    <t>07-08-2025</t>
  </si>
  <si>
    <t>ORD1428</t>
  </si>
  <si>
    <t>06-10-2025</t>
  </si>
  <si>
    <t>ORD1429</t>
  </si>
  <si>
    <t>ORD1430</t>
  </si>
  <si>
    <t>09-07-2025</t>
  </si>
  <si>
    <t>ORD1431</t>
  </si>
  <si>
    <t>ORD1432</t>
  </si>
  <si>
    <t>ORD1433</t>
  </si>
  <si>
    <t>ORD1434</t>
  </si>
  <si>
    <t>ORD1435</t>
  </si>
  <si>
    <t>ORD1436</t>
  </si>
  <si>
    <t>27-01-2025</t>
  </si>
  <si>
    <t>ORD1437</t>
  </si>
  <si>
    <t>ORD1438</t>
  </si>
  <si>
    <t>ORD1439</t>
  </si>
  <si>
    <t>22-08-2025</t>
  </si>
  <si>
    <t>ORD1440</t>
  </si>
  <si>
    <t>ORD1441</t>
  </si>
  <si>
    <t>ORD1442</t>
  </si>
  <si>
    <t>ORD1443</t>
  </si>
  <si>
    <t>ORD1444</t>
  </si>
  <si>
    <t>ORD1445</t>
  </si>
  <si>
    <t>ORD1446</t>
  </si>
  <si>
    <t>ORD1447</t>
  </si>
  <si>
    <t>ORD1448</t>
  </si>
  <si>
    <t>ORD1449</t>
  </si>
  <si>
    <t>30-01-2025</t>
  </si>
  <si>
    <t>ORD1450</t>
  </si>
  <si>
    <t>ORD1451</t>
  </si>
  <si>
    <t>ORD1452</t>
  </si>
  <si>
    <t>ORD1453</t>
  </si>
  <si>
    <t>ORD1454</t>
  </si>
  <si>
    <t>ORD1455</t>
  </si>
  <si>
    <t>ORD1456</t>
  </si>
  <si>
    <t>06-03-2025</t>
  </si>
  <si>
    <t>ORD1457</t>
  </si>
  <si>
    <t>ORD1458</t>
  </si>
  <si>
    <t>ORD1459</t>
  </si>
  <si>
    <t>ORD1460</t>
  </si>
  <si>
    <t>ORD1461</t>
  </si>
  <si>
    <t>17-01-2025</t>
  </si>
  <si>
    <t>ORD1462</t>
  </si>
  <si>
    <t>ORD1463</t>
  </si>
  <si>
    <t>14-04-2025</t>
  </si>
  <si>
    <t>ORD1464</t>
  </si>
  <si>
    <t>ORD1465</t>
  </si>
  <si>
    <t>ORD1466</t>
  </si>
  <si>
    <t>24-08-2025</t>
  </si>
  <si>
    <t>ORD1467</t>
  </si>
  <si>
    <t>ORD1468</t>
  </si>
  <si>
    <t>ORD1469</t>
  </si>
  <si>
    <t>17-03-2025</t>
  </si>
  <si>
    <t>ORD1470</t>
  </si>
  <si>
    <t>ORD1471</t>
  </si>
  <si>
    <t>ORD1472</t>
  </si>
  <si>
    <t>ORD1473</t>
  </si>
  <si>
    <t>ORD1474</t>
  </si>
  <si>
    <t>24-01-2025</t>
  </si>
  <si>
    <t>ORD1475</t>
  </si>
  <si>
    <t>ORD1476</t>
  </si>
  <si>
    <t>ORD1477</t>
  </si>
  <si>
    <t>ORD1478</t>
  </si>
  <si>
    <t>ORD1479</t>
  </si>
  <si>
    <t>16-08-2025</t>
  </si>
  <si>
    <t>ORD1480</t>
  </si>
  <si>
    <t>28-04-2025</t>
  </si>
  <si>
    <t>ORD1481</t>
  </si>
  <si>
    <t>ORD1482</t>
  </si>
  <si>
    <t>ORD1483</t>
  </si>
  <si>
    <t>ORD1484</t>
  </si>
  <si>
    <t>ORD1485</t>
  </si>
  <si>
    <t>ORD1486</t>
  </si>
  <si>
    <t>04-12-2025</t>
  </si>
  <si>
    <t>ORD1487</t>
  </si>
  <si>
    <t>ORD1488</t>
  </si>
  <si>
    <t>ORD1489</t>
  </si>
  <si>
    <t>28-08-2025</t>
  </si>
  <si>
    <t>ORD1490</t>
  </si>
  <si>
    <t>ORD1491</t>
  </si>
  <si>
    <t>20-03-2025</t>
  </si>
  <si>
    <t>ORD1492</t>
  </si>
  <si>
    <t>ORD1493</t>
  </si>
  <si>
    <t>ORD1494</t>
  </si>
  <si>
    <t>12-06-2025</t>
  </si>
  <si>
    <t>ORD1495</t>
  </si>
  <si>
    <t>ORD1496</t>
  </si>
  <si>
    <t>ORD1497</t>
  </si>
  <si>
    <t>ORD1498</t>
  </si>
  <si>
    <t>ORD1499</t>
  </si>
  <si>
    <t>ORD1500</t>
  </si>
  <si>
    <t>ORD1501</t>
  </si>
  <si>
    <t>ORD1502</t>
  </si>
  <si>
    <t>ORD1503</t>
  </si>
  <si>
    <t>ORD1504</t>
  </si>
  <si>
    <t>ORD1505</t>
  </si>
  <si>
    <t>17-04-2025</t>
  </si>
  <si>
    <t>ORD1506</t>
  </si>
  <si>
    <t>ORD1507</t>
  </si>
  <si>
    <t>ORD1508</t>
  </si>
  <si>
    <t>ORD1509</t>
  </si>
  <si>
    <t>ORD1510</t>
  </si>
  <si>
    <t>ORD1511</t>
  </si>
  <si>
    <t>02-06-2025</t>
  </si>
  <si>
    <t>ORD1512</t>
  </si>
  <si>
    <t>ORD1513</t>
  </si>
  <si>
    <t>ORD1514</t>
  </si>
  <si>
    <t>ORD1515</t>
  </si>
  <si>
    <t>ORD1516</t>
  </si>
  <si>
    <t>ORD1517</t>
  </si>
  <si>
    <t>ORD1518</t>
  </si>
  <si>
    <t>ORD1519</t>
  </si>
  <si>
    <t>16-09-2025</t>
  </si>
  <si>
    <t>ORD1520</t>
  </si>
  <si>
    <t>ORD1521</t>
  </si>
  <si>
    <t>ORD1522</t>
  </si>
  <si>
    <t>13-05-2025</t>
  </si>
  <si>
    <t>ORD1523</t>
  </si>
  <si>
    <t>ORD1524</t>
  </si>
  <si>
    <t>ORD1525</t>
  </si>
  <si>
    <t>ORD1526</t>
  </si>
  <si>
    <t>ORD1527</t>
  </si>
  <si>
    <t>ORD1528</t>
  </si>
  <si>
    <t>ORD1529</t>
  </si>
  <si>
    <t>ORD1530</t>
  </si>
  <si>
    <t>ORD1531</t>
  </si>
  <si>
    <t>ORD1532</t>
  </si>
  <si>
    <t>ORD1533</t>
  </si>
  <si>
    <t>ORD1534</t>
  </si>
  <si>
    <t>ORD1535</t>
  </si>
  <si>
    <t>ORD1536</t>
  </si>
  <si>
    <t>ORD1537</t>
  </si>
  <si>
    <t>ORD1538</t>
  </si>
  <si>
    <t>19-03-2025</t>
  </si>
  <si>
    <t>ORD1539</t>
  </si>
  <si>
    <t>06-07-2025</t>
  </si>
  <si>
    <t>ORD1540</t>
  </si>
  <si>
    <t>ORD1541</t>
  </si>
  <si>
    <t>ORD1542</t>
  </si>
  <si>
    <t>ORD1543</t>
  </si>
  <si>
    <t>ORD1544</t>
  </si>
  <si>
    <t>ORD1545</t>
  </si>
  <si>
    <t>29-01-2025</t>
  </si>
  <si>
    <t>ORD1546</t>
  </si>
  <si>
    <t>ORD1547</t>
  </si>
  <si>
    <t>ORD1548</t>
  </si>
  <si>
    <t>ORD1549</t>
  </si>
  <si>
    <t>ORD1550</t>
  </si>
  <si>
    <t>ORD1551</t>
  </si>
  <si>
    <t>10-11-2025</t>
  </si>
  <si>
    <t>ORD1552</t>
  </si>
  <si>
    <t>ORD1553</t>
  </si>
  <si>
    <t>ORD1554</t>
  </si>
  <si>
    <t>10-06-2025</t>
  </si>
  <si>
    <t>ORD1555</t>
  </si>
  <si>
    <t>ORD1556</t>
  </si>
  <si>
    <t>08-11-2025</t>
  </si>
  <si>
    <t>ORD1557</t>
  </si>
  <si>
    <t>ORD1558</t>
  </si>
  <si>
    <t>29-03-2025</t>
  </si>
  <si>
    <t>ORD1559</t>
  </si>
  <si>
    <t>03-03-2025</t>
  </si>
  <si>
    <t>ORD1560</t>
  </si>
  <si>
    <t>27-11-2025</t>
  </si>
  <si>
    <t>ORD1561</t>
  </si>
  <si>
    <t>ORD1562</t>
  </si>
  <si>
    <t>ORD1563</t>
  </si>
  <si>
    <t>04-04-2025</t>
  </si>
  <si>
    <t>ORD1564</t>
  </si>
  <si>
    <t>ORD1565</t>
  </si>
  <si>
    <t>ORD1566</t>
  </si>
  <si>
    <t>ORD1567</t>
  </si>
  <si>
    <t>ORD1568</t>
  </si>
  <si>
    <t>ORD1569</t>
  </si>
  <si>
    <t>ORD1570</t>
  </si>
  <si>
    <t>03-09-2025</t>
  </si>
  <si>
    <t>ORD1571</t>
  </si>
  <si>
    <t>ORD1572</t>
  </si>
  <si>
    <t>ORD1573</t>
  </si>
  <si>
    <t>ORD1574</t>
  </si>
  <si>
    <t>ORD1575</t>
  </si>
  <si>
    <t>ORD1576</t>
  </si>
  <si>
    <t>ORD1577</t>
  </si>
  <si>
    <t>ORD1578</t>
  </si>
  <si>
    <t>06-04-2025</t>
  </si>
  <si>
    <t>ORD1579</t>
  </si>
  <si>
    <t>ORD1580</t>
  </si>
  <si>
    <t>17-12-2025</t>
  </si>
  <si>
    <t>ORD1581</t>
  </si>
  <si>
    <t>ORD1582</t>
  </si>
  <si>
    <t>ORD1583</t>
  </si>
  <si>
    <t>01-08-2025</t>
  </si>
  <si>
    <t>ORD1584</t>
  </si>
  <si>
    <t>31-07-2025</t>
  </si>
  <si>
    <t>ORD1585</t>
  </si>
  <si>
    <t>ORD1586</t>
  </si>
  <si>
    <t>ORD1587</t>
  </si>
  <si>
    <t>ORD1588</t>
  </si>
  <si>
    <t>ORD1589</t>
  </si>
  <si>
    <t>ORD1590</t>
  </si>
  <si>
    <t>ORD1591</t>
  </si>
  <si>
    <t>ORD1592</t>
  </si>
  <si>
    <t>ORD1593</t>
  </si>
  <si>
    <t>ORD1594</t>
  </si>
  <si>
    <t>ORD1595</t>
  </si>
  <si>
    <t>ORD1596</t>
  </si>
  <si>
    <t>ORD1597</t>
  </si>
  <si>
    <t>ORD1598</t>
  </si>
  <si>
    <t>ORD1599</t>
  </si>
  <si>
    <t>04-10-2025</t>
  </si>
  <si>
    <t>ORD1600</t>
  </si>
  <si>
    <t>ORD1601</t>
  </si>
  <si>
    <t>27-12-2025</t>
  </si>
  <si>
    <t>ORD1602</t>
  </si>
  <si>
    <t>ORD1603</t>
  </si>
  <si>
    <t>ORD1604</t>
  </si>
  <si>
    <t>ORD1605</t>
  </si>
  <si>
    <t>ORD1606</t>
  </si>
  <si>
    <t>ORD1607</t>
  </si>
  <si>
    <t>ORD1608</t>
  </si>
  <si>
    <t>ORD1609</t>
  </si>
  <si>
    <t>ORD1610</t>
  </si>
  <si>
    <t>ORD1611</t>
  </si>
  <si>
    <t>ORD1612</t>
  </si>
  <si>
    <t>ORD1613</t>
  </si>
  <si>
    <t>ORD1614</t>
  </si>
  <si>
    <t>ORD1615</t>
  </si>
  <si>
    <t>ORD1616</t>
  </si>
  <si>
    <t>ORD1617</t>
  </si>
  <si>
    <t>ORD1618</t>
  </si>
  <si>
    <t>ORD1619</t>
  </si>
  <si>
    <t>ORD1620</t>
  </si>
  <si>
    <t>ORD1621</t>
  </si>
  <si>
    <t>ORD1622</t>
  </si>
  <si>
    <t>19-05-2025</t>
  </si>
  <si>
    <t>ORD1623</t>
  </si>
  <si>
    <t>ORD1624</t>
  </si>
  <si>
    <t>30-10-2025</t>
  </si>
  <si>
    <t>ORD1625</t>
  </si>
  <si>
    <t>ORD1626</t>
  </si>
  <si>
    <t>ORD1627</t>
  </si>
  <si>
    <t>ORD1628</t>
  </si>
  <si>
    <t>ORD1629</t>
  </si>
  <si>
    <t>ORD1630</t>
  </si>
  <si>
    <t>ORD1631</t>
  </si>
  <si>
    <t>ORD1632</t>
  </si>
  <si>
    <t>ORD1633</t>
  </si>
  <si>
    <t>ORD1634</t>
  </si>
  <si>
    <t>ORD1635</t>
  </si>
  <si>
    <t>ORD1636</t>
  </si>
  <si>
    <t>ORD1637</t>
  </si>
  <si>
    <t>ORD1638</t>
  </si>
  <si>
    <t>ORD1639</t>
  </si>
  <si>
    <t>ORD1640</t>
  </si>
  <si>
    <t>ORD1641</t>
  </si>
  <si>
    <t>ORD1642</t>
  </si>
  <si>
    <t>ORD1643</t>
  </si>
  <si>
    <t>ORD1644</t>
  </si>
  <si>
    <t>ORD1645</t>
  </si>
  <si>
    <t>ORD1646</t>
  </si>
  <si>
    <t>ORD1647</t>
  </si>
  <si>
    <t>ORD1648</t>
  </si>
  <si>
    <t>ORD1649</t>
  </si>
  <si>
    <t>16-03-2025</t>
  </si>
  <si>
    <t>ORD1650</t>
  </si>
  <si>
    <t>ORD1651</t>
  </si>
  <si>
    <t>ORD1652</t>
  </si>
  <si>
    <t>ORD1653</t>
  </si>
  <si>
    <t>ORD1654</t>
  </si>
  <si>
    <t>ORD1655</t>
  </si>
  <si>
    <t>ORD1656</t>
  </si>
  <si>
    <t>ORD1657</t>
  </si>
  <si>
    <t>ORD1658</t>
  </si>
  <si>
    <t>ORD1659</t>
  </si>
  <si>
    <t>ORD1660</t>
  </si>
  <si>
    <t>ORD1661</t>
  </si>
  <si>
    <t>03-04-2025</t>
  </si>
  <si>
    <t>ORD1662</t>
  </si>
  <si>
    <t>10-12-2025</t>
  </si>
  <si>
    <t>ORD1663</t>
  </si>
  <si>
    <t>ORD1664</t>
  </si>
  <si>
    <t>12-01-2025</t>
  </si>
  <si>
    <t>ORD1665</t>
  </si>
  <si>
    <t>ORD1666</t>
  </si>
  <si>
    <t>ORD1667</t>
  </si>
  <si>
    <t>ORD1668</t>
  </si>
  <si>
    <t>ORD1669</t>
  </si>
  <si>
    <t>ORD1670</t>
  </si>
  <si>
    <t>ORD1671</t>
  </si>
  <si>
    <t>ORD1672</t>
  </si>
  <si>
    <t>18-03-2025</t>
  </si>
  <si>
    <t>ORD1673</t>
  </si>
  <si>
    <t>ORD1674</t>
  </si>
  <si>
    <t>ORD1675</t>
  </si>
  <si>
    <t>24-07-2025</t>
  </si>
  <si>
    <t>ORD1676</t>
  </si>
  <si>
    <t>ORD1677</t>
  </si>
  <si>
    <t>10-01-2025</t>
  </si>
  <si>
    <t>ORD1678</t>
  </si>
  <si>
    <t>07-06-2025</t>
  </si>
  <si>
    <t>ORD1679</t>
  </si>
  <si>
    <t>ORD1680</t>
  </si>
  <si>
    <t>04-11-2025</t>
  </si>
  <si>
    <t>ORD1681</t>
  </si>
  <si>
    <t>ORD1682</t>
  </si>
  <si>
    <t>ORD1683</t>
  </si>
  <si>
    <t>ORD1684</t>
  </si>
  <si>
    <t>ORD1685</t>
  </si>
  <si>
    <t>ORD1686</t>
  </si>
  <si>
    <t>ORD1687</t>
  </si>
  <si>
    <t>ORD1688</t>
  </si>
  <si>
    <t>27-03-2025</t>
  </si>
  <si>
    <t>ORD1689</t>
  </si>
  <si>
    <t>22-11-2025</t>
  </si>
  <si>
    <t>ORD1690</t>
  </si>
  <si>
    <t>ORD1691</t>
  </si>
  <si>
    <t>ORD1692</t>
  </si>
  <si>
    <t>ORD1693</t>
  </si>
  <si>
    <t>ORD1694</t>
  </si>
  <si>
    <t>ORD1695</t>
  </si>
  <si>
    <t>31-01-2025</t>
  </si>
  <si>
    <t>ORD1696</t>
  </si>
  <si>
    <t>ORD1697</t>
  </si>
  <si>
    <t>ORD1698</t>
  </si>
  <si>
    <t>ORD1699</t>
  </si>
  <si>
    <t>ORD1700</t>
  </si>
  <si>
    <t>ORD1701</t>
  </si>
  <si>
    <t>ORD1702</t>
  </si>
  <si>
    <t>07-09-2025</t>
  </si>
  <si>
    <t>ORD1703</t>
  </si>
  <si>
    <t>ORD1704</t>
  </si>
  <si>
    <t>ORD1705</t>
  </si>
  <si>
    <t>22-04-2025</t>
  </si>
  <si>
    <t>ORD1706</t>
  </si>
  <si>
    <t>ORD1707</t>
  </si>
  <si>
    <t>ORD1708</t>
  </si>
  <si>
    <t>ORD1709</t>
  </si>
  <si>
    <t>ORD1710</t>
  </si>
  <si>
    <t>ORD1711</t>
  </si>
  <si>
    <t>ORD1712</t>
  </si>
  <si>
    <t>ORD1713</t>
  </si>
  <si>
    <t>ORD1714</t>
  </si>
  <si>
    <t>ORD1715</t>
  </si>
  <si>
    <t>ORD1716</t>
  </si>
  <si>
    <t>ORD1717</t>
  </si>
  <si>
    <t>ORD1718</t>
  </si>
  <si>
    <t>ORD1719</t>
  </si>
  <si>
    <t>ORD1720</t>
  </si>
  <si>
    <t>26-08-2025</t>
  </si>
  <si>
    <t>ORD1721</t>
  </si>
  <si>
    <t>ORD1722</t>
  </si>
  <si>
    <t>ORD1723</t>
  </si>
  <si>
    <t>ORD1724</t>
  </si>
  <si>
    <t>ORD1725</t>
  </si>
  <si>
    <t>ORD1726</t>
  </si>
  <si>
    <t>ORD1727</t>
  </si>
  <si>
    <t>ORD1728</t>
  </si>
  <si>
    <t>20-07-2025</t>
  </si>
  <si>
    <t>ORD1729</t>
  </si>
  <si>
    <t>ORD1730</t>
  </si>
  <si>
    <t>ORD1731</t>
  </si>
  <si>
    <t>ORD1732</t>
  </si>
  <si>
    <t>ORD1733</t>
  </si>
  <si>
    <t>ORD1734</t>
  </si>
  <si>
    <t>23-12-2025</t>
  </si>
  <si>
    <t>ORD1735</t>
  </si>
  <si>
    <t>ORD1736</t>
  </si>
  <si>
    <t>ORD1737</t>
  </si>
  <si>
    <t>ORD1738</t>
  </si>
  <si>
    <t>ORD1739</t>
  </si>
  <si>
    <t>ORD1740</t>
  </si>
  <si>
    <t>ORD1741</t>
  </si>
  <si>
    <t>ORD1742</t>
  </si>
  <si>
    <t>ORD1743</t>
  </si>
  <si>
    <t>26-07-2025</t>
  </si>
  <si>
    <t>ORD1744</t>
  </si>
  <si>
    <t>ORD1745</t>
  </si>
  <si>
    <t>ORD1746</t>
  </si>
  <si>
    <t>ORD1747</t>
  </si>
  <si>
    <t>ORD1748</t>
  </si>
  <si>
    <t>ORD1749</t>
  </si>
  <si>
    <t>ORD1750</t>
  </si>
  <si>
    <t>ORD1751</t>
  </si>
  <si>
    <t>ORD1752</t>
  </si>
  <si>
    <t>ORD1753</t>
  </si>
  <si>
    <t>ORD1754</t>
  </si>
  <si>
    <t>ORD1755</t>
  </si>
  <si>
    <t>ORD1756</t>
  </si>
  <si>
    <t>ORD1757</t>
  </si>
  <si>
    <t>ORD1758</t>
  </si>
  <si>
    <t>ORD1759</t>
  </si>
  <si>
    <t>ORD1760</t>
  </si>
  <si>
    <t>02-09-2025</t>
  </si>
  <si>
    <t>ORD1761</t>
  </si>
  <si>
    <t>ORD1762</t>
  </si>
  <si>
    <t>ORD1763</t>
  </si>
  <si>
    <t>ORD1764</t>
  </si>
  <si>
    <t>ORD1765</t>
  </si>
  <si>
    <t>ORD1766</t>
  </si>
  <si>
    <t>ORD1767</t>
  </si>
  <si>
    <t>ORD1768</t>
  </si>
  <si>
    <t>ORD1769</t>
  </si>
  <si>
    <t>ORD1770</t>
  </si>
  <si>
    <t>ORD1771</t>
  </si>
  <si>
    <t>ORD1772</t>
  </si>
  <si>
    <t>ORD1773</t>
  </si>
  <si>
    <t>ORD1774</t>
  </si>
  <si>
    <t>25-05-2025</t>
  </si>
  <si>
    <t>ORD1775</t>
  </si>
  <si>
    <t>ORD1776</t>
  </si>
  <si>
    <t>25-04-2025</t>
  </si>
  <si>
    <t>ORD1777</t>
  </si>
  <si>
    <t>ORD1778</t>
  </si>
  <si>
    <t>ORD1779</t>
  </si>
  <si>
    <t>ORD1780</t>
  </si>
  <si>
    <t>ORD1781</t>
  </si>
  <si>
    <t>ORD1782</t>
  </si>
  <si>
    <t>ORD1783</t>
  </si>
  <si>
    <t>ORD1784</t>
  </si>
  <si>
    <t>ORD1785</t>
  </si>
  <si>
    <t>ORD1786</t>
  </si>
  <si>
    <t>ORD1787</t>
  </si>
  <si>
    <t>ORD1788</t>
  </si>
  <si>
    <t>ORD1789</t>
  </si>
  <si>
    <t>ORD1790</t>
  </si>
  <si>
    <t>ORD1791</t>
  </si>
  <si>
    <t>ORD1792</t>
  </si>
  <si>
    <t>ORD1793</t>
  </si>
  <si>
    <t>ORD1794</t>
  </si>
  <si>
    <t>ORD1795</t>
  </si>
  <si>
    <t>ORD1796</t>
  </si>
  <si>
    <t>ORD1797</t>
  </si>
  <si>
    <t>ORD1798</t>
  </si>
  <si>
    <t>ORD1799</t>
  </si>
  <si>
    <t>ORD1800</t>
  </si>
  <si>
    <t>01-02-2025</t>
  </si>
  <si>
    <t>ORD1801</t>
  </si>
  <si>
    <t>ORD1802</t>
  </si>
  <si>
    <t>ORD1803</t>
  </si>
  <si>
    <t>ORD1804</t>
  </si>
  <si>
    <t>ORD1805</t>
  </si>
  <si>
    <t>ORD1806</t>
  </si>
  <si>
    <t>ORD1807</t>
  </si>
  <si>
    <t>ORD1808</t>
  </si>
  <si>
    <t>ORD1809</t>
  </si>
  <si>
    <t>ORD1810</t>
  </si>
  <si>
    <t>ORD1811</t>
  </si>
  <si>
    <t>ORD1812</t>
  </si>
  <si>
    <t>01-09-2025</t>
  </si>
  <si>
    <t>ORD1813</t>
  </si>
  <si>
    <t>ORD1814</t>
  </si>
  <si>
    <t>ORD1815</t>
  </si>
  <si>
    <t>ORD1816</t>
  </si>
  <si>
    <t>ORD1817</t>
  </si>
  <si>
    <t>ORD1818</t>
  </si>
  <si>
    <t>ORD1819</t>
  </si>
  <si>
    <t>ORD1820</t>
  </si>
  <si>
    <t>ORD1821</t>
  </si>
  <si>
    <t>ORD1822</t>
  </si>
  <si>
    <t>07-04-2025</t>
  </si>
  <si>
    <t>ORD1823</t>
  </si>
  <si>
    <t>ORD1824</t>
  </si>
  <si>
    <t>ORD1825</t>
  </si>
  <si>
    <t>ORD1826</t>
  </si>
  <si>
    <t>ORD1827</t>
  </si>
  <si>
    <t>ORD1828</t>
  </si>
  <si>
    <t>ORD1829</t>
  </si>
  <si>
    <t>ORD1830</t>
  </si>
  <si>
    <t>ORD1831</t>
  </si>
  <si>
    <t>ORD1832</t>
  </si>
  <si>
    <t>ORD1833</t>
  </si>
  <si>
    <t>ORD1834</t>
  </si>
  <si>
    <t>ORD1835</t>
  </si>
  <si>
    <t>ORD1836</t>
  </si>
  <si>
    <t>ORD1837</t>
  </si>
  <si>
    <t>ORD1838</t>
  </si>
  <si>
    <t>ORD1839</t>
  </si>
  <si>
    <t>ORD1840</t>
  </si>
  <si>
    <t>19-01-2025</t>
  </si>
  <si>
    <t>ORD1841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</si>
  <si>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</si>
  <si>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</si>
  <si>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</si>
  <si>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</si>
  <si>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</si>
  <si>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</si>
  <si>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</si>
  <si>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</si>
  <si>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</si>
  <si>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</si>
  <si>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ORD1852</t>
  </si>
  <si>
    <t>ORD1853</t>
  </si>
  <si>
    <t>ORD1854</t>
  </si>
  <si>
    <t>18-04-2025</t>
  </si>
  <si>
    <t>ORD1855</t>
  </si>
  <si>
    <t>ORD1856</t>
  </si>
  <si>
    <t>ORD1857</t>
  </si>
  <si>
    <t>ORD1858</t>
  </si>
  <si>
    <t>ORD1859</t>
  </si>
  <si>
    <t>ORD1860</t>
  </si>
  <si>
    <t>ORD1861</t>
  </si>
  <si>
    <t>ORD1862</t>
  </si>
  <si>
    <t>ORD1863</t>
  </si>
  <si>
    <t>ORD1864</t>
  </si>
  <si>
    <t>29-04-2025</t>
  </si>
  <si>
    <t>ORD1865</t>
  </si>
  <si>
    <t>ORD1866</t>
  </si>
  <si>
    <t>ORD1867</t>
  </si>
  <si>
    <t>ORD1868</t>
  </si>
  <si>
    <t>ORD1869</t>
  </si>
  <si>
    <t>ORD1870</t>
  </si>
  <si>
    <t>ORD1871</t>
  </si>
  <si>
    <t>ORD1872</t>
  </si>
  <si>
    <t>ORD1873</t>
  </si>
  <si>
    <t>ORD1874</t>
  </si>
  <si>
    <t>ORD1875</t>
  </si>
  <si>
    <t>ORD1876</t>
  </si>
  <si>
    <t>ORD1877</t>
  </si>
  <si>
    <t>ORD1878</t>
  </si>
  <si>
    <t>ORD1879</t>
  </si>
  <si>
    <t>ORD1880</t>
  </si>
  <si>
    <t>ORD1881</t>
  </si>
  <si>
    <t>ORD1882</t>
  </si>
  <si>
    <t>ORD1883</t>
  </si>
  <si>
    <t>ORD1884</t>
  </si>
  <si>
    <t>ORD1885</t>
  </si>
  <si>
    <t>ORD1886</t>
  </si>
  <si>
    <t>ORD1887</t>
  </si>
  <si>
    <t>ORD1888</t>
  </si>
  <si>
    <t>ORD1889</t>
  </si>
  <si>
    <t>ORD1890</t>
  </si>
  <si>
    <t>ORD1891</t>
  </si>
  <si>
    <t>ORD1892</t>
  </si>
  <si>
    <t>ORD1893</t>
  </si>
  <si>
    <t>ORD1894</t>
  </si>
  <si>
    <t>ORD1895</t>
  </si>
  <si>
    <t>ORD1896</t>
  </si>
  <si>
    <t>02-10-2025</t>
  </si>
  <si>
    <t>ORD1897</t>
  </si>
  <si>
    <t>ORD1898</t>
  </si>
  <si>
    <t>ORD1899</t>
  </si>
  <si>
    <t>ORD1900</t>
  </si>
  <si>
    <t>ORD1901</t>
  </si>
  <si>
    <t>ORD1902</t>
  </si>
  <si>
    <t>ORD1903</t>
  </si>
  <si>
    <t>25-03-2025</t>
  </si>
  <si>
    <t>ORD1904</t>
  </si>
  <si>
    <t>ORD1905</t>
  </si>
  <si>
    <t>ORD1906</t>
  </si>
  <si>
    <t>ORD1907</t>
  </si>
  <si>
    <t>ORD1908</t>
  </si>
  <si>
    <t>ORD1909</t>
  </si>
  <si>
    <t>ORD1910</t>
  </si>
  <si>
    <t>ORD1911</t>
  </si>
  <si>
    <t>ORD1912</t>
  </si>
  <si>
    <t>ORD1913</t>
  </si>
  <si>
    <t>ORD1914</t>
  </si>
  <si>
    <t>ORD1915</t>
  </si>
  <si>
    <t>ORD1916</t>
  </si>
  <si>
    <t>ORD1917</t>
  </si>
  <si>
    <t>ORD1918</t>
  </si>
  <si>
    <t>ORD1919</t>
  </si>
  <si>
    <t>ORD1920</t>
  </si>
  <si>
    <t>ORD1921</t>
  </si>
  <si>
    <t>ORD1922</t>
  </si>
  <si>
    <t>ORD1923</t>
  </si>
  <si>
    <t>ORD1924</t>
  </si>
  <si>
    <t>ORD1925</t>
  </si>
  <si>
    <t>ORD1926</t>
  </si>
  <si>
    <t>ORD1927</t>
  </si>
  <si>
    <t>ORD1928</t>
  </si>
  <si>
    <t>ORD1929</t>
  </si>
  <si>
    <t>31-03-2025</t>
  </si>
  <si>
    <t>ORD1930</t>
  </si>
  <si>
    <t>ORD1931</t>
  </si>
  <si>
    <t>ORD1932</t>
  </si>
  <si>
    <t>ORD1933</t>
  </si>
  <si>
    <t>ORD1934</t>
  </si>
  <si>
    <t>ORD1935</t>
  </si>
  <si>
    <t>ORD1936</t>
  </si>
  <si>
    <t>21-01-2025</t>
  </si>
  <si>
    <t>ORD1937</t>
  </si>
  <si>
    <t>ORD1938</t>
  </si>
  <si>
    <t>ORD1939</t>
  </si>
  <si>
    <t>ORD1940</t>
  </si>
  <si>
    <t>ORD1941</t>
  </si>
  <si>
    <t>ORD1942</t>
  </si>
  <si>
    <t>ORD1943</t>
  </si>
  <si>
    <t>ORD1944</t>
  </si>
  <si>
    <t>ORD1945</t>
  </si>
  <si>
    <t>ORD1946</t>
  </si>
  <si>
    <t>ORD1947</t>
  </si>
  <si>
    <t>ORD1948</t>
  </si>
  <si>
    <t>ORD1949</t>
  </si>
  <si>
    <t>ORD1950</t>
  </si>
  <si>
    <t>ORD1951</t>
  </si>
  <si>
    <t>ORD1952</t>
  </si>
  <si>
    <t>ORD1953</t>
  </si>
  <si>
    <t>ORD1954</t>
  </si>
  <si>
    <t>ORD1955</t>
  </si>
  <si>
    <t>ORD1956</t>
  </si>
  <si>
    <t>ORD1957</t>
  </si>
  <si>
    <t>ORD1958</t>
  </si>
  <si>
    <t>05-09-2025</t>
  </si>
  <si>
    <t>ORD1959</t>
  </si>
  <si>
    <t>ORD1960</t>
  </si>
  <si>
    <t>ORD1961</t>
  </si>
  <si>
    <t>ORD1962</t>
  </si>
  <si>
    <t>ORD1963</t>
  </si>
  <si>
    <t>ORD1964</t>
  </si>
  <si>
    <t>ORD1965</t>
  </si>
  <si>
    <t>ORD1966</t>
  </si>
  <si>
    <t>ORD1967</t>
  </si>
  <si>
    <t>ORD1968</t>
  </si>
  <si>
    <t>ORD1969</t>
  </si>
  <si>
    <t>ORD1970</t>
  </si>
  <si>
    <t>ORD1971</t>
  </si>
  <si>
    <t>ORD1972</t>
  </si>
  <si>
    <t>ORD1973</t>
  </si>
  <si>
    <t>01-06-2025</t>
  </si>
  <si>
    <t>ORD1974</t>
  </si>
  <si>
    <t>ORD1975</t>
  </si>
  <si>
    <t>15-07-2025</t>
  </si>
  <si>
    <t>ORD1976</t>
  </si>
  <si>
    <t>ORD1977</t>
  </si>
  <si>
    <t>ORD1978</t>
  </si>
  <si>
    <t>ORD1979</t>
  </si>
  <si>
    <t>ORD1980</t>
  </si>
  <si>
    <t>ORD1981</t>
  </si>
  <si>
    <t>ORD1982</t>
  </si>
  <si>
    <t>ORD1983</t>
  </si>
  <si>
    <t>ORD1984</t>
  </si>
  <si>
    <t>ORD1985</t>
  </si>
  <si>
    <t>ORD1986</t>
  </si>
  <si>
    <t>ORD1987</t>
  </si>
  <si>
    <t>ORD1988</t>
  </si>
  <si>
    <t>ORD1989</t>
  </si>
  <si>
    <t>ORD1990</t>
  </si>
  <si>
    <t>ORD1991</t>
  </si>
  <si>
    <t>ORD1992</t>
  </si>
  <si>
    <t>05-11-2025</t>
  </si>
  <si>
    <t>ORD1993</t>
  </si>
  <si>
    <t>ORD1994</t>
  </si>
  <si>
    <t>ORD1995</t>
  </si>
  <si>
    <t>ORD1996</t>
  </si>
  <si>
    <t>ORD1997</t>
  </si>
  <si>
    <t>ORD1998</t>
  </si>
  <si>
    <t>22-01-2025</t>
  </si>
  <si>
    <t>ORD1999</t>
  </si>
  <si>
    <t>ORD2000</t>
  </si>
  <si>
    <t>Grand Total</t>
  </si>
  <si>
    <t>Total Sales</t>
  </si>
  <si>
    <t>Month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</si>
  <si>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</si>
  <si>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</si>
  <si>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</si>
  <si>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</si>
  <si>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</si>
  <si>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</si>
  <si>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</si>
  <si>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</si>
  <si>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</si>
  <si>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</si>
  <si>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</si>
  <si>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</si>
  <si>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</si>
  <si>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Sales Performance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</si>
</sst>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7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7" fontId="0" fillId="0" borderId="0" xfId="1" applyNumberFormat="1" applyFont="1"/>
    <xf numFmtId="14" fontId="0" fillId="0" borderId="0" xfId="0" applyNumberFormat="1"/>
    <xf numFmtId="167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9">
    <dxf>
      <numFmt numFmtId="167" formatCode="_ * #,##0_ ;_ * \-#,##0_ ;_ * &quot;-&quot;??_ ;_ @_ "/>
    </dxf>
    <dxf>
      <numFmt numFmtId="164" formatCode="_ * #,##0.0_ ;_ * \-#,##0.0_ ;_ * &quot;-&quot;??_ ;_ @_ "/>
    </dxf>
    <dxf>
      <numFmt numFmtId="164" formatCode="_ * #,##0.0_ ;_ * \-#,##0.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(1).xlsx]Pivot Tables!PivotTable1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Tables'!$A$2:$A$6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Tables'!$B$2:$B$6</c:f>
              <c:numCache>
                <c:formatCode>_ * #,##0_ ;_ * \-#,##0_ ;_ * "-"??_ ;_ @_ </c:formatCode>
                <c:ptCount val="4"/>
                <c:pt idx="0">
                  <c:v>9567205</c:v>
                </c:pt>
                <c:pt idx="1">
                  <c:v>10596642</c:v>
                </c:pt>
                <c:pt idx="2">
                  <c:v>9581824</c:v>
                </c:pt>
                <c:pt idx="3">
                  <c:v>9991125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1-4CE7-A8D3-32C3D882D9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353600"/>
        <c:axId val="1484361280"/>
      </c:barChart>
      <c:catAx>
        <c:axId val="148435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61280"/>
        <c:crosses val="autoZero"/>
        <c:auto val="1"/>
        <c:lblAlgn val="ctr"/>
        <c:lblOffset val="100"/>
        <c:noMultiLvlLbl val="0"/>
      </c:catAx>
      <c:valAx>
        <c:axId val="1484361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53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(1).xlsx]Pivot Tables!PivotTable2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Tables'!$A$11:$A$14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'Pivot Tables'!$B$11:$B$14</c:f>
              <c:numCache>
                <c:formatCode>_ * #,##0_ ;_ * \-#,##0_ ;_ * "-"??_ ;_ @_ </c:formatCode>
                <c:ptCount val="3"/>
                <c:pt idx="0">
                  <c:v>14521733</c:v>
                </c:pt>
                <c:pt idx="1">
                  <c:v>12908255</c:v>
                </c:pt>
                <c:pt idx="2">
                  <c:v>12306808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28-4D64-87EF-F6ACB196C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355040"/>
        <c:axId val="1484380000"/>
      </c:barChart>
      <c:catAx>
        <c:axId val="148435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80000"/>
        <c:crosses val="autoZero"/>
        <c:auto val="1"/>
        <c:lblAlgn val="ctr"/>
        <c:lblOffset val="100"/>
        <c:noMultiLvlLbl val="0"/>
      </c:catAx>
      <c:valAx>
        <c:axId val="148438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55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(1).xlsx]Pivot Tables!PivotTable16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</a:t>
            </a:r>
            <a:r>
              <a:rPr lang="en-US" baseline="0"/>
              <a:t>ly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Tables'!$A$35:$A$36</c:f>
              <c:strCache>
                <c:ptCount val="1"/>
                <c:pt idx="0">
                  <c:v>2025</c:v>
                </c:pt>
              </c:strCache>
            </c:strRef>
          </c:cat>
          <c:val>
            <c:numRef>
              <c:f>'Pivot Tables'!$B$35:$B$36</c:f>
              <c:numCache>
                <c:formatCode>General</c:formatCode>
                <c:ptCount val="1"/>
                <c:pt idx="0">
                  <c:v>39736796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C9-453A-8D30-9DF7B0D0F9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385760"/>
        <c:axId val="1484324800"/>
      </c:barChart>
      <c:catAx>
        <c:axId val="14843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24800"/>
        <c:crosses val="autoZero"/>
        <c:auto val="1"/>
        <c:lblAlgn val="ctr"/>
        <c:lblOffset val="100"/>
        <c:noMultiLvlLbl val="0"/>
      </c:catAx>
      <c:valAx>
        <c:axId val="1484324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857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[Sales_Data (1).xlsx]Pivot Tables!PivotTable15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Tables'!$A$19:$A$31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Tables'!$B$19:$B$31</c:f>
              <c:numCache>
                <c:formatCode>General</c:formatCode>
                <c:ptCount val="12"/>
                <c:pt idx="0">
                  <c:v>3356535</c:v>
                </c:pt>
                <c:pt idx="1">
                  <c:v>3671308</c:v>
                </c:pt>
                <c:pt idx="2">
                  <c:v>2856653</c:v>
                </c:pt>
                <c:pt idx="3">
                  <c:v>2269952</c:v>
                </c:pt>
                <c:pt idx="4">
                  <c:v>3467626</c:v>
                </c:pt>
                <c:pt idx="5">
                  <c:v>3494908</c:v>
                </c:pt>
                <c:pt idx="6">
                  <c:v>3413508</c:v>
                </c:pt>
                <c:pt idx="7">
                  <c:v>4177795</c:v>
                </c:pt>
                <c:pt idx="8">
                  <c:v>2709886</c:v>
                </c:pt>
                <c:pt idx="9">
                  <c:v>3611038</c:v>
                </c:pt>
                <c:pt idx="10">
                  <c:v>3431962</c:v>
                </c:pt>
                <c:pt idx="11">
                  <c:v>3275625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57-9DA2-D88AFEEC8F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320960"/>
        <c:axId val="1484323840"/>
      </c:barChart>
      <c:catAx>
        <c:axId val="148432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23840"/>
        <c:crosses val="autoZero"/>
        <c:auto val="1"/>
        <c:lblAlgn val="ctr"/>
        <c:lblOffset val="100"/>
        <c:noMultiLvlLbl val="0"/>
      </c:catAx>
      <c:valAx>
        <c:axId val="1484323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32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2627</xdr:rowOff>
    </xdr:from>
    <xdr:to>
      <xdr:col>8</xdr:col>
      <xdr:colOff>608482</xdr:colOff>
      <xdr:row>22</xdr:row>
      <xdr:rowOff>183931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774FC4-A63A-4CA6-82DB-66BD27F2EA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4619</xdr:colOff>
      <xdr:row>2</xdr:row>
      <xdr:rowOff>179295</xdr:rowOff>
    </xdr:from>
    <xdr:to>
      <xdr:col>20</xdr:col>
      <xdr:colOff>7257</xdr:colOff>
      <xdr:row>23</xdr:row>
      <xdr:rowOff>3298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60E06F-C470-4634-8842-9E431CC074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0</xdr:colOff>
      <xdr:row>24</xdr:row>
      <xdr:rowOff>139521</xdr:rowOff>
    </xdr:from>
    <xdr:to>
      <xdr:col>20</xdr:col>
      <xdr:colOff>0</xdr:colOff>
      <xdr:row>48</xdr:row>
      <xdr:rowOff>2965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13F28C1-F969-4064-B9C4-4B82B9562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27</xdr:row>
      <xdr:rowOff>5256</xdr:rowOff>
    </xdr:from>
    <xdr:to>
      <xdr:col>9</xdr:col>
      <xdr:colOff>1</xdr:colOff>
      <xdr:row>48</xdr:row>
      <xdr:rowOff>7883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8941181-6C67-4657-9490-1E909CEEBC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 na" refreshedDate="46202.695548842596" createdVersion="8" refreshedVersion="8" minRefreshableVersion="3" recordCount="1000" xr:uid="{40CC3141-F8F2-42D2-8B53-F600532B91EF}">
  <cacheSource type="worksheet">
    <worksheetSource name="Table1"/>
  </cacheSource>
  <cacheFields count="12">
    <cacheField name="Order ID" numFmtId="0">
      <sharedItems/>
    </cacheField>
    <cacheField name="Order Date" numFmtId="0">
      <sharedItems/>
    </cacheField>
    <cacheField name="Customer Name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tate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592" maxValue="79994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/>
    </cacheField>
    <cacheField name="Profit" numFmtId="0">
      <sharedItems containsSemiMixedTypes="0" containsString="0" containsNumber="1" minValue="97.65" maxValue="21181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 na" refreshedDate="46202.730171527779" createdVersion="8" refreshedVersion="8" minRefreshableVersion="3" recordCount="1000" xr:uid="{A151CF86-E451-4E3D-A1C1-AA88EADE6FA5}">
  <cacheSource type="worksheet">
    <worksheetSource name="Table6"/>
  </cacheSource>
  <cacheFields count="14">
    <cacheField name="Order ID" numFmtId="0">
      <sharedItems/>
    </cacheField>
    <cacheField name="Order Date" numFmtId="14">
      <sharedItems containsSemiMixedTypes="0" containsNonDate="0" containsDate="1" containsString="0" minDate="2025-01-01T00:00:00" maxDate="2026-01-01T00:00:00"/>
    </cacheField>
    <cacheField name="Customer Name" numFmtId="0">
      <sharedItems/>
    </cacheField>
    <cacheField name="Region" numFmtId="0">
      <sharedItems count="4">
        <s v="North"/>
        <s v="East"/>
        <s v="South"/>
        <s v="West"/>
      </sharedItems>
    </cacheField>
    <cacheField name="State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592" maxValue="79994"/>
    </cacheField>
    <cacheField name="Quantity" numFmtId="0">
      <sharedItems containsSemiMixedTypes="0" containsString="0" containsNumber="1" containsInteger="1" minValue="1" maxValue="10"/>
    </cacheField>
    <cacheField name="Discount" numFmtId="0">
      <sharedItems/>
    </cacheField>
    <cacheField name="Profit" numFmtId="0">
      <sharedItems containsSemiMixedTypes="0" containsString="0" containsNumber="1" minValue="97.65" maxValue="21181.25"/>
    </cacheField>
    <cacheField name="Month" numFmtId="0">
      <sharedItems count="12">
        <s v="Apr"/>
        <s v="Nov"/>
        <s v="Aug"/>
        <s v="May"/>
        <s v="Jul"/>
        <s v="Sep"/>
        <s v="Mar"/>
        <s v="Dec"/>
        <s v="Jan"/>
        <s v="Jun"/>
        <s v="Oct"/>
        <s v="Feb"/>
      </sharedItems>
    </cacheField>
    <cacheField name="Year" numFmtId="0">
      <sharedItems containsSemiMixedTypes="0" containsString="0" containsNumber="1" containsInteger="1" minValue="2025" maxValue="2025" count="1"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1"/>
    <s v="02-04-2025"/>
    <s v="Karan Patel"/>
    <x v="0"/>
    <s v="Haryana"/>
    <x v="0"/>
    <s v="Pen"/>
    <s v="Gel Pen Set"/>
    <n v="64079"/>
    <n v="7"/>
    <s v="0%"/>
    <n v="11572.42"/>
  </r>
  <r>
    <s v="ORD1002"/>
    <s v="13-11-2025"/>
    <s v="Karan Patel"/>
    <x v="1"/>
    <s v="West Bengal"/>
    <x v="1"/>
    <s v="Bookcase"/>
    <s v="Wooden Bookcase"/>
    <n v="15393"/>
    <n v="6"/>
    <s v="15%"/>
    <n v="3368.83"/>
  </r>
  <r>
    <s v="ORD1003"/>
    <s v="09-08-2025"/>
    <s v="Simran Kaur"/>
    <x v="2"/>
    <s v="Karnataka"/>
    <x v="1"/>
    <s v="Bookcase"/>
    <s v="Wooden Bookcase"/>
    <n v="79449"/>
    <n v="9"/>
    <s v="20%"/>
    <n v="20039.900000000001"/>
  </r>
  <r>
    <s v="ORD1004"/>
    <s v="08-05-2025"/>
    <s v="Neha Singh"/>
    <x v="3"/>
    <s v="Gujarat"/>
    <x v="1"/>
    <s v="Table"/>
    <s v="Study Table"/>
    <n v="45792"/>
    <n v="2"/>
    <s v="20%"/>
    <n v="6651.79"/>
  </r>
  <r>
    <s v="ORD1005"/>
    <s v="21-07-2025"/>
    <s v="Priya Verma"/>
    <x v="2"/>
    <s v="Kerala"/>
    <x v="2"/>
    <s v="Laptop"/>
    <s v="HP Pavilion"/>
    <n v="24475"/>
    <n v="9"/>
    <s v="5%"/>
    <n v="4452.66"/>
  </r>
  <r>
    <s v="ORD1006"/>
    <s v="09-11-2025"/>
    <s v="Karan Patel"/>
    <x v="3"/>
    <s v="Maharashtra"/>
    <x v="2"/>
    <s v="Laptop"/>
    <s v="HP Pavilion"/>
    <n v="16445"/>
    <n v="7"/>
    <s v="10%"/>
    <n v="1972.03"/>
  </r>
  <r>
    <s v="ORD1007"/>
    <s v="12-09-2025"/>
    <s v="Anjali Mehta"/>
    <x v="3"/>
    <s v="Maharashtra"/>
    <x v="1"/>
    <s v="Chair"/>
    <s v="Office Chair"/>
    <n v="66960"/>
    <n v="10"/>
    <s v="10%"/>
    <n v="16705.88"/>
  </r>
  <r>
    <s v="ORD1008"/>
    <s v="15-11-2025"/>
    <s v="Simran Kaur"/>
    <x v="2"/>
    <s v="Kerala"/>
    <x v="2"/>
    <s v="Laptop"/>
    <s v="HP Pavilion"/>
    <n v="22396"/>
    <n v="9"/>
    <s v="15%"/>
    <n v="3903.8"/>
  </r>
  <r>
    <s v="ORD1009"/>
    <s v="14-08-2025"/>
    <s v="Arjun Rana"/>
    <x v="3"/>
    <s v="Gujarat"/>
    <x v="1"/>
    <s v="Table"/>
    <s v="Study Table"/>
    <n v="14061"/>
    <n v="3"/>
    <s v="0%"/>
    <n v="3724.12"/>
  </r>
  <r>
    <s v="ORD1010"/>
    <s v="08-03-2025"/>
    <s v="Rohit Gupta"/>
    <x v="3"/>
    <s v="Rajasthan"/>
    <x v="2"/>
    <s v="Laptop"/>
    <s v="HP Pavilion"/>
    <n v="45945"/>
    <n v="10"/>
    <s v="10%"/>
    <n v="8964.8700000000008"/>
  </r>
  <r>
    <s v="ORD1011"/>
    <s v="20-11-2025"/>
    <s v="Priya Verma"/>
    <x v="2"/>
    <s v="Karnataka"/>
    <x v="0"/>
    <s v="Pen"/>
    <s v="Gel Pen Set"/>
    <n v="36004"/>
    <n v="10"/>
    <s v="20%"/>
    <n v="7858.68"/>
  </r>
  <r>
    <s v="ORD1012"/>
    <s v="23-04-2025"/>
    <s v="Rahul Sharma"/>
    <x v="0"/>
    <s v="Delhi"/>
    <x v="1"/>
    <s v="Bookcase"/>
    <s v="Wooden Bookcase"/>
    <n v="12137"/>
    <n v="3"/>
    <s v="20%"/>
    <n v="2959.87"/>
  </r>
  <r>
    <s v="ORD1013"/>
    <s v="16-12-2025"/>
    <s v="Simran Kaur"/>
    <x v="3"/>
    <s v="Rajasthan"/>
    <x v="0"/>
    <s v="Binder"/>
    <s v="A4 Binder"/>
    <n v="1713"/>
    <n v="3"/>
    <s v="5%"/>
    <n v="222.67"/>
  </r>
  <r>
    <s v="ORD1014"/>
    <s v="25-01-2025"/>
    <s v="Priya Verma"/>
    <x v="3"/>
    <s v="Maharashtra"/>
    <x v="0"/>
    <s v="Pen"/>
    <s v="Gel Pen Set"/>
    <n v="32314"/>
    <n v="7"/>
    <s v="15%"/>
    <n v="6233.33"/>
  </r>
  <r>
    <s v="ORD1015"/>
    <s v="28-06-2025"/>
    <s v="Priya Verma"/>
    <x v="1"/>
    <s v="Odisha"/>
    <x v="0"/>
    <s v="Pen"/>
    <s v="Gel Pen Set"/>
    <n v="65103"/>
    <n v="9"/>
    <s v="5%"/>
    <n v="10681.66"/>
  </r>
  <r>
    <s v="ORD1016"/>
    <s v="29-11-2025"/>
    <s v="Karan Patel"/>
    <x v="0"/>
    <s v="Haryana"/>
    <x v="0"/>
    <s v="Binder"/>
    <s v="A4 Binder"/>
    <n v="40658"/>
    <n v="8"/>
    <s v="5%"/>
    <n v="6102.48"/>
  </r>
  <r>
    <s v="ORD1017"/>
    <s v="11-01-2025"/>
    <s v="Priya Verma"/>
    <x v="0"/>
    <s v="Delhi"/>
    <x v="2"/>
    <s v="Mobile"/>
    <s v="Samsung Galaxy"/>
    <n v="50447"/>
    <n v="10"/>
    <s v="20%"/>
    <n v="6815.05"/>
  </r>
  <r>
    <s v="ORD1018"/>
    <s v="07-12-2025"/>
    <s v="Sneha Joshi"/>
    <x v="3"/>
    <s v="Gujarat"/>
    <x v="0"/>
    <s v="Binder"/>
    <s v="A4 Binder"/>
    <n v="43827"/>
    <n v="6"/>
    <s v="15%"/>
    <n v="10731.96"/>
  </r>
  <r>
    <s v="ORD1019"/>
    <s v="21-04-2025"/>
    <s v="Rahul Sharma"/>
    <x v="2"/>
    <s v="Kerala"/>
    <x v="2"/>
    <s v="Accessories"/>
    <s v="Wireless Mouse"/>
    <n v="78040"/>
    <n v="9"/>
    <s v="20%"/>
    <n v="7834.96"/>
  </r>
  <r>
    <s v="ORD1020"/>
    <s v="19-08-2025"/>
    <s v="Rohit Gupta"/>
    <x v="3"/>
    <s v="Maharashtra"/>
    <x v="2"/>
    <s v="Accessories"/>
    <s v="Wireless Mouse"/>
    <n v="41230"/>
    <n v="6"/>
    <s v="20%"/>
    <n v="5990.91"/>
  </r>
  <r>
    <s v="ORD1021"/>
    <s v="19-06-2025"/>
    <s v="Rohit Gupta"/>
    <x v="0"/>
    <s v="Delhi"/>
    <x v="1"/>
    <s v="Table"/>
    <s v="Study Table"/>
    <n v="61563"/>
    <n v="5"/>
    <s v="20%"/>
    <n v="13300.04"/>
  </r>
  <r>
    <s v="ORD1022"/>
    <s v="20-08-2025"/>
    <s v="Priya Verma"/>
    <x v="3"/>
    <s v="Maharashtra"/>
    <x v="0"/>
    <s v="Pen"/>
    <s v="Gel Pen Set"/>
    <n v="48741"/>
    <n v="10"/>
    <s v="5%"/>
    <n v="4911.53"/>
  </r>
  <r>
    <s v="ORD1023"/>
    <s v="10-04-2025"/>
    <s v="Rahul Sharma"/>
    <x v="2"/>
    <s v="Kerala"/>
    <x v="0"/>
    <s v="Paper"/>
    <s v="A4 Paper Pack"/>
    <n v="21133"/>
    <n v="4"/>
    <s v="20%"/>
    <n v="3996.61"/>
  </r>
  <r>
    <s v="ORD1024"/>
    <s v="31-10-2025"/>
    <s v="Karan Patel"/>
    <x v="1"/>
    <s v="West Bengal"/>
    <x v="2"/>
    <s v="Laptop"/>
    <s v="HP Pavilion"/>
    <n v="54478"/>
    <n v="6"/>
    <s v="0%"/>
    <n v="13003.11"/>
  </r>
  <r>
    <s v="ORD1025"/>
    <s v="28-12-2025"/>
    <s v="Sneha Joshi"/>
    <x v="2"/>
    <s v="Karnataka"/>
    <x v="0"/>
    <s v="Binder"/>
    <s v="A4 Binder"/>
    <n v="9761"/>
    <n v="3"/>
    <s v="0%"/>
    <n v="1522.74"/>
  </r>
  <r>
    <s v="ORD1026"/>
    <s v="15-06-2025"/>
    <s v="Sneha Joshi"/>
    <x v="3"/>
    <s v="Gujarat"/>
    <x v="2"/>
    <s v="Accessories"/>
    <s v="Wireless Mouse"/>
    <n v="67807"/>
    <n v="7"/>
    <s v="15%"/>
    <n v="10467.02"/>
  </r>
  <r>
    <s v="ORD1027"/>
    <s v="02-07-2025"/>
    <s v="Rahul Sharma"/>
    <x v="0"/>
    <s v="Haryana"/>
    <x v="2"/>
    <s v="Accessories"/>
    <s v="Wireless Mouse"/>
    <n v="33451"/>
    <n v="5"/>
    <s v="20%"/>
    <n v="5343.79"/>
  </r>
  <r>
    <s v="ORD1028"/>
    <s v="12-02-2025"/>
    <s v="Rahul Sharma"/>
    <x v="2"/>
    <s v="Tamil Nadu"/>
    <x v="0"/>
    <s v="Paper"/>
    <s v="A4 Paper Pack"/>
    <n v="14220"/>
    <n v="8"/>
    <s v="15%"/>
    <n v="3743.48"/>
  </r>
  <r>
    <s v="ORD1029"/>
    <s v="01-10-2025"/>
    <s v="Rahul Sharma"/>
    <x v="3"/>
    <s v="Gujarat"/>
    <x v="1"/>
    <s v="Bookcase"/>
    <s v="Wooden Bookcase"/>
    <n v="70693"/>
    <n v="3"/>
    <s v="10%"/>
    <n v="6773.02"/>
  </r>
  <r>
    <s v="ORD1030"/>
    <s v="26-02-2025"/>
    <s v="Amit Kumar"/>
    <x v="1"/>
    <s v="West Bengal"/>
    <x v="1"/>
    <s v="Chair"/>
    <s v="Office Chair"/>
    <n v="43964"/>
    <n v="2"/>
    <s v="15%"/>
    <n v="4299.1099999999997"/>
  </r>
  <r>
    <s v="ORD1031"/>
    <s v="20-10-2025"/>
    <s v="Simran Kaur"/>
    <x v="0"/>
    <s v="Delhi"/>
    <x v="2"/>
    <s v="Laptop"/>
    <s v="HP Pavilion"/>
    <n v="72443"/>
    <n v="1"/>
    <s v="15%"/>
    <n v="8374.18"/>
  </r>
  <r>
    <s v="ORD1032"/>
    <s v="04-02-2025"/>
    <s v="Simran Kaur"/>
    <x v="3"/>
    <s v="Gujarat"/>
    <x v="0"/>
    <s v="Binder"/>
    <s v="A4 Binder"/>
    <n v="29945"/>
    <n v="1"/>
    <s v="15%"/>
    <n v="4787.38"/>
  </r>
  <r>
    <s v="ORD1033"/>
    <s v="12-02-2025"/>
    <s v="Rahul Sharma"/>
    <x v="2"/>
    <s v="Karnataka"/>
    <x v="2"/>
    <s v="Laptop"/>
    <s v="HP Pavilion"/>
    <n v="56305"/>
    <n v="3"/>
    <s v="15%"/>
    <n v="13420.19"/>
  </r>
  <r>
    <s v="ORD1034"/>
    <s v="01-07-2025"/>
    <s v="Karan Patel"/>
    <x v="1"/>
    <s v="Bihar"/>
    <x v="0"/>
    <s v="Pen"/>
    <s v="Gel Pen Set"/>
    <n v="17461"/>
    <n v="10"/>
    <s v="0%"/>
    <n v="2897.84"/>
  </r>
  <r>
    <s v="ORD1035"/>
    <s v="10-02-2025"/>
    <s v="Karan Patel"/>
    <x v="1"/>
    <s v="West Bengal"/>
    <x v="1"/>
    <s v="Bookcase"/>
    <s v="Wooden Bookcase"/>
    <n v="61696"/>
    <n v="7"/>
    <s v="20%"/>
    <n v="4771.32"/>
  </r>
  <r>
    <s v="ORD1036"/>
    <s v="26-01-2025"/>
    <s v="Simran Kaur"/>
    <x v="3"/>
    <s v="Maharashtra"/>
    <x v="2"/>
    <s v="Laptop"/>
    <s v="HP Pavilion"/>
    <n v="25408"/>
    <n v="9"/>
    <s v="0%"/>
    <n v="6261.98"/>
  </r>
  <r>
    <s v="ORD1037"/>
    <s v="12-12-2025"/>
    <s v="Rohit Gupta"/>
    <x v="2"/>
    <s v="Karnataka"/>
    <x v="0"/>
    <s v="Binder"/>
    <s v="A4 Binder"/>
    <n v="34525"/>
    <n v="4"/>
    <s v="15%"/>
    <n v="6076.08"/>
  </r>
  <r>
    <s v="ORD1038"/>
    <s v="25-11-2025"/>
    <s v="Neha Singh"/>
    <x v="2"/>
    <s v="Kerala"/>
    <x v="1"/>
    <s v="Bookcase"/>
    <s v="Wooden Bookcase"/>
    <n v="21885"/>
    <n v="4"/>
    <s v="0%"/>
    <n v="3603.51"/>
  </r>
  <r>
    <s v="ORD1039"/>
    <s v="22-07-2025"/>
    <s v="Sneha Joshi"/>
    <x v="1"/>
    <s v="Odisha"/>
    <x v="2"/>
    <s v="Mobile"/>
    <s v="Samsung Galaxy"/>
    <n v="17100"/>
    <n v="2"/>
    <s v="15%"/>
    <n v="1699.21"/>
  </r>
  <r>
    <s v="ORD1040"/>
    <s v="29-12-2025"/>
    <s v="Neha Singh"/>
    <x v="3"/>
    <s v="Rajasthan"/>
    <x v="1"/>
    <s v="Table"/>
    <s v="Study Table"/>
    <n v="52243"/>
    <n v="7"/>
    <s v="20%"/>
    <n v="13263.44"/>
  </r>
  <r>
    <s v="ORD1041"/>
    <s v="09-06-2025"/>
    <s v="Rahul Sharma"/>
    <x v="1"/>
    <s v="Bihar"/>
    <x v="1"/>
    <s v="Bookcase"/>
    <s v="Wooden Bookcase"/>
    <n v="64196"/>
    <n v="2"/>
    <s v="10%"/>
    <n v="6694.5"/>
  </r>
  <r>
    <s v="ORD1042"/>
    <s v="21-06-2025"/>
    <s v="Amit Kumar"/>
    <x v="2"/>
    <s v="Tamil Nadu"/>
    <x v="2"/>
    <s v="Accessories"/>
    <s v="Wireless Mouse"/>
    <n v="33488"/>
    <n v="6"/>
    <s v="20%"/>
    <n v="3372.96"/>
  </r>
  <r>
    <s v="ORD1043"/>
    <s v="02-11-2025"/>
    <s v="Arjun Rana"/>
    <x v="2"/>
    <s v="Tamil Nadu"/>
    <x v="1"/>
    <s v="Bookcase"/>
    <s v="Wooden Bookcase"/>
    <n v="68813"/>
    <n v="6"/>
    <s v="10%"/>
    <n v="12039.43"/>
  </r>
  <r>
    <s v="ORD1044"/>
    <s v="21-05-2025"/>
    <s v="Amit Kumar"/>
    <x v="1"/>
    <s v="Odisha"/>
    <x v="1"/>
    <s v="Bookcase"/>
    <s v="Wooden Bookcase"/>
    <n v="71135"/>
    <n v="7"/>
    <s v="5%"/>
    <n v="8463.41"/>
  </r>
  <r>
    <s v="ORD1045"/>
    <s v="08-01-2025"/>
    <s v="Sneha Joshi"/>
    <x v="3"/>
    <s v="Rajasthan"/>
    <x v="0"/>
    <s v="Pen"/>
    <s v="Gel Pen Set"/>
    <n v="59659"/>
    <n v="2"/>
    <s v="5%"/>
    <n v="12298.21"/>
  </r>
  <r>
    <s v="ORD1046"/>
    <s v="14-03-2025"/>
    <s v="Arjun Rana"/>
    <x v="0"/>
    <s v="Punjab"/>
    <x v="0"/>
    <s v="Binder"/>
    <s v="A4 Binder"/>
    <n v="4027"/>
    <n v="6"/>
    <s v="10%"/>
    <n v="608.17999999999995"/>
  </r>
  <r>
    <s v="ORD1047"/>
    <s v="04-05-2025"/>
    <s v="Anjali Mehta"/>
    <x v="0"/>
    <s v="Haryana"/>
    <x v="0"/>
    <s v="Binder"/>
    <s v="A4 Binder"/>
    <n v="20415"/>
    <n v="5"/>
    <s v="0%"/>
    <n v="3754.62"/>
  </r>
  <r>
    <s v="ORD1048"/>
    <s v="29-08-2025"/>
    <s v="Rohit Gupta"/>
    <x v="3"/>
    <s v="Rajasthan"/>
    <x v="2"/>
    <s v="Laptop"/>
    <s v="HP Pavilion"/>
    <n v="19150"/>
    <n v="8"/>
    <s v="20%"/>
    <n v="3776.13"/>
  </r>
  <r>
    <s v="ORD1049"/>
    <s v="02-05-2025"/>
    <s v="Priya Verma"/>
    <x v="3"/>
    <s v="Gujarat"/>
    <x v="1"/>
    <s v="Table"/>
    <s v="Study Table"/>
    <n v="56134"/>
    <n v="10"/>
    <s v="0%"/>
    <n v="7179.75"/>
  </r>
  <r>
    <s v="ORD1050"/>
    <s v="05-06-2025"/>
    <s v="Priya Verma"/>
    <x v="0"/>
    <s v="Haryana"/>
    <x v="0"/>
    <s v="Paper"/>
    <s v="A4 Paper Pack"/>
    <n v="71881"/>
    <n v="2"/>
    <s v="15%"/>
    <n v="11678.57"/>
  </r>
  <r>
    <s v="ORD1051"/>
    <s v="13-02-2025"/>
    <s v="Arjun Rana"/>
    <x v="3"/>
    <s v="Gujarat"/>
    <x v="1"/>
    <s v="Table"/>
    <s v="Study Table"/>
    <n v="23550"/>
    <n v="10"/>
    <s v="10%"/>
    <n v="5355.86"/>
  </r>
  <r>
    <s v="ORD1052"/>
    <s v="16-04-2025"/>
    <s v="Rahul Sharma"/>
    <x v="3"/>
    <s v="Rajasthan"/>
    <x v="0"/>
    <s v="Pen"/>
    <s v="Gel Pen Set"/>
    <n v="45243"/>
    <n v="5"/>
    <s v="15%"/>
    <n v="6001.71"/>
  </r>
  <r>
    <s v="ORD1053"/>
    <s v="28-06-2025"/>
    <s v="Priya Verma"/>
    <x v="2"/>
    <s v="Kerala"/>
    <x v="2"/>
    <s v="Mobile"/>
    <s v="Samsung Galaxy"/>
    <n v="33774"/>
    <n v="5"/>
    <s v="0%"/>
    <n v="4896.33"/>
  </r>
  <r>
    <s v="ORD1054"/>
    <s v="20-08-2025"/>
    <s v="Simran Kaur"/>
    <x v="3"/>
    <s v="Rajasthan"/>
    <x v="2"/>
    <s v="Laptop"/>
    <s v="HP Pavilion"/>
    <n v="53928"/>
    <n v="3"/>
    <s v="5%"/>
    <n v="7899.22"/>
  </r>
  <r>
    <s v="ORD1055"/>
    <s v="24-06-2025"/>
    <s v="Rohit Gupta"/>
    <x v="0"/>
    <s v="Haryana"/>
    <x v="2"/>
    <s v="Accessories"/>
    <s v="Wireless Mouse"/>
    <n v="41675"/>
    <n v="3"/>
    <s v="20%"/>
    <n v="6171.49"/>
  </r>
  <r>
    <s v="ORD1056"/>
    <s v="08-12-2025"/>
    <s v="Rohit Gupta"/>
    <x v="2"/>
    <s v="Tamil Nadu"/>
    <x v="0"/>
    <s v="Binder"/>
    <s v="A4 Binder"/>
    <n v="20881"/>
    <n v="2"/>
    <s v="15%"/>
    <n v="4520.1000000000004"/>
  </r>
  <r>
    <s v="ORD1057"/>
    <s v="08-02-2025"/>
    <s v="Sneha Joshi"/>
    <x v="2"/>
    <s v="Karnataka"/>
    <x v="2"/>
    <s v="Accessories"/>
    <s v="Wireless Mouse"/>
    <n v="47721"/>
    <n v="10"/>
    <s v="15%"/>
    <n v="11438.47"/>
  </r>
  <r>
    <s v="ORD1058"/>
    <s v="12-10-2025"/>
    <s v="Rohit Gupta"/>
    <x v="1"/>
    <s v="West Bengal"/>
    <x v="0"/>
    <s v="Binder"/>
    <s v="A4 Binder"/>
    <n v="4003"/>
    <n v="4"/>
    <s v="15%"/>
    <n v="613.92999999999995"/>
  </r>
  <r>
    <s v="ORD1059"/>
    <s v="10-03-2025"/>
    <s v="Amit Kumar"/>
    <x v="0"/>
    <s v="Delhi"/>
    <x v="0"/>
    <s v="Binder"/>
    <s v="A4 Binder"/>
    <n v="32437"/>
    <n v="2"/>
    <s v="10%"/>
    <n v="3379.48"/>
  </r>
  <r>
    <s v="ORD1060"/>
    <s v="16-06-2025"/>
    <s v="Anjali Mehta"/>
    <x v="1"/>
    <s v="Odisha"/>
    <x v="0"/>
    <s v="Paper"/>
    <s v="A4 Paper Pack"/>
    <n v="28984"/>
    <n v="7"/>
    <s v="20%"/>
    <n v="3872.66"/>
  </r>
  <r>
    <s v="ORD1061"/>
    <s v="19-11-2025"/>
    <s v="Amit Kumar"/>
    <x v="3"/>
    <s v="Rajasthan"/>
    <x v="2"/>
    <s v="Laptop"/>
    <s v="HP Pavilion"/>
    <n v="9755"/>
    <n v="5"/>
    <s v="0%"/>
    <n v="1731.58"/>
  </r>
  <r>
    <s v="ORD1062"/>
    <s v="30-05-2025"/>
    <s v="Neha Singh"/>
    <x v="1"/>
    <s v="Bihar"/>
    <x v="2"/>
    <s v="Laptop"/>
    <s v="HP Pavilion"/>
    <n v="22293"/>
    <n v="9"/>
    <s v="20%"/>
    <n v="3668.35"/>
  </r>
  <r>
    <s v="ORD1063"/>
    <s v="28-07-2025"/>
    <s v="Priya Verma"/>
    <x v="3"/>
    <s v="Rajasthan"/>
    <x v="2"/>
    <s v="Accessories"/>
    <s v="Wireless Mouse"/>
    <n v="76117"/>
    <n v="6"/>
    <s v="5%"/>
    <n v="19329.62"/>
  </r>
  <r>
    <s v="ORD1064"/>
    <s v="19-11-2025"/>
    <s v="Sneha Joshi"/>
    <x v="1"/>
    <s v="Odisha"/>
    <x v="2"/>
    <s v="Accessories"/>
    <s v="Wireless Mouse"/>
    <n v="43469"/>
    <n v="1"/>
    <s v="15%"/>
    <n v="4005.84"/>
  </r>
  <r>
    <s v="ORD1065"/>
    <s v="16-07-2025"/>
    <s v="Rahul Sharma"/>
    <x v="3"/>
    <s v="Maharashtra"/>
    <x v="0"/>
    <s v="Pen"/>
    <s v="Gel Pen Set"/>
    <n v="27468"/>
    <n v="3"/>
    <s v="20%"/>
    <n v="5459.26"/>
  </r>
  <r>
    <s v="ORD1066"/>
    <s v="23-07-2025"/>
    <s v="Rohit Gupta"/>
    <x v="3"/>
    <s v="Maharashtra"/>
    <x v="1"/>
    <s v="Chair"/>
    <s v="Office Chair"/>
    <n v="9145"/>
    <n v="10"/>
    <s v="5%"/>
    <n v="2044.22"/>
  </r>
  <r>
    <s v="ORD1067"/>
    <s v="20-10-2025"/>
    <s v="Amit Kumar"/>
    <x v="1"/>
    <s v="Odisha"/>
    <x v="0"/>
    <s v="Pen"/>
    <s v="Gel Pen Set"/>
    <n v="19266"/>
    <n v="9"/>
    <s v="20%"/>
    <n v="4151.43"/>
  </r>
  <r>
    <s v="ORD1068"/>
    <s v="01-05-2025"/>
    <s v="Amit Kumar"/>
    <x v="1"/>
    <s v="Odisha"/>
    <x v="1"/>
    <s v="Table"/>
    <s v="Study Table"/>
    <n v="57149"/>
    <n v="3"/>
    <s v="0%"/>
    <n v="10683.78"/>
  </r>
  <r>
    <s v="ORD1069"/>
    <s v="06-11-2025"/>
    <s v="Karan Patel"/>
    <x v="2"/>
    <s v="Kerala"/>
    <x v="1"/>
    <s v="Chair"/>
    <s v="Office Chair"/>
    <n v="24011"/>
    <n v="10"/>
    <s v="10%"/>
    <n v="4591.83"/>
  </r>
  <r>
    <s v="ORD1070"/>
    <s v="02-12-2025"/>
    <s v="Karan Patel"/>
    <x v="1"/>
    <s v="Odisha"/>
    <x v="1"/>
    <s v="Table"/>
    <s v="Study Table"/>
    <n v="76175"/>
    <n v="9"/>
    <s v="15%"/>
    <n v="5481.37"/>
  </r>
  <r>
    <s v="ORD1071"/>
    <s v="01-11-2025"/>
    <s v="Sneha Joshi"/>
    <x v="1"/>
    <s v="West Bengal"/>
    <x v="0"/>
    <s v="Binder"/>
    <s v="A4 Binder"/>
    <n v="71213"/>
    <n v="6"/>
    <s v="5%"/>
    <n v="7358.89"/>
  </r>
  <r>
    <s v="ORD1072"/>
    <s v="11-08-2025"/>
    <s v="Sneha Joshi"/>
    <x v="2"/>
    <s v="Karnataka"/>
    <x v="1"/>
    <s v="Table"/>
    <s v="Study Table"/>
    <n v="40306"/>
    <n v="7"/>
    <s v="15%"/>
    <n v="3906.81"/>
  </r>
  <r>
    <s v="ORD1073"/>
    <s v="05-03-2025"/>
    <s v="Rohit Gupta"/>
    <x v="3"/>
    <s v="Maharashtra"/>
    <x v="2"/>
    <s v="Mobile"/>
    <s v="Samsung Galaxy"/>
    <n v="16464"/>
    <n v="2"/>
    <s v="10%"/>
    <n v="3552.04"/>
  </r>
  <r>
    <s v="ORD1074"/>
    <s v="20-12-2025"/>
    <s v="Amit Kumar"/>
    <x v="1"/>
    <s v="Odisha"/>
    <x v="0"/>
    <s v="Pen"/>
    <s v="Gel Pen Set"/>
    <n v="58706"/>
    <n v="10"/>
    <s v="10%"/>
    <n v="14691.49"/>
  </r>
  <r>
    <s v="ORD1075"/>
    <s v="11-09-2025"/>
    <s v="Rohit Gupta"/>
    <x v="1"/>
    <s v="Bihar"/>
    <x v="1"/>
    <s v="Chair"/>
    <s v="Office Chair"/>
    <n v="17196"/>
    <n v="1"/>
    <s v="20%"/>
    <n v="3392.57"/>
  </r>
  <r>
    <s v="ORD1076"/>
    <s v="30-04-2025"/>
    <s v="Amit Kumar"/>
    <x v="3"/>
    <s v="Gujarat"/>
    <x v="1"/>
    <s v="Bookcase"/>
    <s v="Wooden Bookcase"/>
    <n v="13542"/>
    <n v="8"/>
    <s v="0%"/>
    <n v="2657.25"/>
  </r>
  <r>
    <s v="ORD1077"/>
    <s v="12-05-2025"/>
    <s v="Amit Kumar"/>
    <x v="2"/>
    <s v="Kerala"/>
    <x v="2"/>
    <s v="Accessories"/>
    <s v="Wireless Mouse"/>
    <n v="11235"/>
    <n v="3"/>
    <s v="0%"/>
    <n v="1316.84"/>
  </r>
  <r>
    <s v="ORD1078"/>
    <s v="12-09-2025"/>
    <s v="Neha Singh"/>
    <x v="2"/>
    <s v="Kerala"/>
    <x v="2"/>
    <s v="Accessories"/>
    <s v="Wireless Mouse"/>
    <n v="23494"/>
    <n v="7"/>
    <s v="20%"/>
    <n v="5556.84"/>
  </r>
  <r>
    <s v="ORD1079"/>
    <s v="31-12-2025"/>
    <s v="Anjali Mehta"/>
    <x v="3"/>
    <s v="Rajasthan"/>
    <x v="0"/>
    <s v="Binder"/>
    <s v="A4 Binder"/>
    <n v="34674"/>
    <n v="1"/>
    <s v="5%"/>
    <n v="3330.19"/>
  </r>
  <r>
    <s v="ORD1080"/>
    <s v="21-07-2025"/>
    <s v="Sneha Joshi"/>
    <x v="3"/>
    <s v="Gujarat"/>
    <x v="2"/>
    <s v="Laptop"/>
    <s v="HP Pavilion"/>
    <n v="9776"/>
    <n v="5"/>
    <s v="20%"/>
    <n v="1683.5"/>
  </r>
  <r>
    <s v="ORD1081"/>
    <s v="31-08-2025"/>
    <s v="Priya Verma"/>
    <x v="1"/>
    <s v="West Bengal"/>
    <x v="0"/>
    <s v="Pen"/>
    <s v="Gel Pen Set"/>
    <n v="68479"/>
    <n v="2"/>
    <s v="20%"/>
    <n v="6082.39"/>
  </r>
  <r>
    <s v="ORD1082"/>
    <s v="15-12-2025"/>
    <s v="Priya Verma"/>
    <x v="0"/>
    <s v="Punjab"/>
    <x v="2"/>
    <s v="Accessories"/>
    <s v="Wireless Mouse"/>
    <n v="14913"/>
    <n v="10"/>
    <s v="0%"/>
    <n v="1205.57"/>
  </r>
  <r>
    <s v="ORD1083"/>
    <s v="28-01-2025"/>
    <s v="Simran Kaur"/>
    <x v="2"/>
    <s v="Tamil Nadu"/>
    <x v="0"/>
    <s v="Paper"/>
    <s v="A4 Paper Pack"/>
    <n v="51482"/>
    <n v="3"/>
    <s v="0%"/>
    <n v="11747.54"/>
  </r>
  <r>
    <s v="ORD1084"/>
    <s v="02-03-2025"/>
    <s v="Simran Kaur"/>
    <x v="3"/>
    <s v="Maharashtra"/>
    <x v="0"/>
    <s v="Pen"/>
    <s v="Gel Pen Set"/>
    <n v="1263"/>
    <n v="9"/>
    <s v="15%"/>
    <n v="182.92"/>
  </r>
  <r>
    <s v="ORD1085"/>
    <s v="30-12-2025"/>
    <s v="Sneha Joshi"/>
    <x v="2"/>
    <s v="Kerala"/>
    <x v="1"/>
    <s v="Bookcase"/>
    <s v="Wooden Bookcase"/>
    <n v="53347"/>
    <n v="10"/>
    <s v="5%"/>
    <n v="11305.36"/>
  </r>
  <r>
    <s v="ORD1086"/>
    <s v="28-06-2025"/>
    <s v="Amit Kumar"/>
    <x v="3"/>
    <s v="Gujarat"/>
    <x v="2"/>
    <s v="Mobile"/>
    <s v="Samsung Galaxy"/>
    <n v="39840"/>
    <n v="6"/>
    <s v="20%"/>
    <n v="9809.8799999999992"/>
  </r>
  <r>
    <s v="ORD1087"/>
    <s v="16-07-2025"/>
    <s v="Arjun Rana"/>
    <x v="3"/>
    <s v="Gujarat"/>
    <x v="2"/>
    <s v="Mobile"/>
    <s v="Samsung Galaxy"/>
    <n v="44865"/>
    <n v="2"/>
    <s v="10%"/>
    <n v="8853.4699999999993"/>
  </r>
  <r>
    <s v="ORD1088"/>
    <s v="17-11-2025"/>
    <s v="Rahul Sharma"/>
    <x v="2"/>
    <s v="Kerala"/>
    <x v="0"/>
    <s v="Pen"/>
    <s v="Gel Pen Set"/>
    <n v="23832"/>
    <n v="4"/>
    <s v="5%"/>
    <n v="3766.43"/>
  </r>
  <r>
    <s v="ORD1089"/>
    <s v="05-08-2025"/>
    <s v="Karan Patel"/>
    <x v="2"/>
    <s v="Karnataka"/>
    <x v="2"/>
    <s v="Accessories"/>
    <s v="Wireless Mouse"/>
    <n v="30264"/>
    <n v="9"/>
    <s v="5%"/>
    <n v="3821.4"/>
  </r>
  <r>
    <s v="ORD1090"/>
    <s v="03-08-2025"/>
    <s v="Rohit Gupta"/>
    <x v="1"/>
    <s v="West Bengal"/>
    <x v="2"/>
    <s v="Laptop"/>
    <s v="HP Pavilion"/>
    <n v="12024"/>
    <n v="9"/>
    <s v="0%"/>
    <n v="1351.98"/>
  </r>
  <r>
    <s v="ORD1091"/>
    <s v="09-09-2025"/>
    <s v="Rahul Sharma"/>
    <x v="0"/>
    <s v="Punjab"/>
    <x v="1"/>
    <s v="Bookcase"/>
    <s v="Wooden Bookcase"/>
    <n v="30709"/>
    <n v="5"/>
    <s v="0%"/>
    <n v="8073.89"/>
  </r>
  <r>
    <s v="ORD1092"/>
    <s v="08-10-2025"/>
    <s v="Karan Patel"/>
    <x v="3"/>
    <s v="Rajasthan"/>
    <x v="1"/>
    <s v="Bookcase"/>
    <s v="Wooden Bookcase"/>
    <n v="23798"/>
    <n v="9"/>
    <s v="20%"/>
    <n v="4538.2700000000004"/>
  </r>
  <r>
    <s v="ORD1093"/>
    <s v="06-08-2025"/>
    <s v="Anjali Mehta"/>
    <x v="0"/>
    <s v="Delhi"/>
    <x v="0"/>
    <s v="Pen"/>
    <s v="Gel Pen Set"/>
    <n v="38600"/>
    <n v="8"/>
    <s v="0%"/>
    <n v="3961.4"/>
  </r>
  <r>
    <s v="ORD1094"/>
    <s v="08-10-2025"/>
    <s v="Amit Kumar"/>
    <x v="3"/>
    <s v="Maharashtra"/>
    <x v="0"/>
    <s v="Paper"/>
    <s v="A4 Paper Pack"/>
    <n v="53903"/>
    <n v="5"/>
    <s v="15%"/>
    <n v="14206.99"/>
  </r>
  <r>
    <s v="ORD1095"/>
    <s v="24-03-2025"/>
    <s v="Neha Singh"/>
    <x v="2"/>
    <s v="Kerala"/>
    <x v="1"/>
    <s v="Chair"/>
    <s v="Office Chair"/>
    <n v="13482"/>
    <n v="10"/>
    <s v="0%"/>
    <n v="2677.75"/>
  </r>
  <r>
    <s v="ORD1096"/>
    <s v="27-04-2025"/>
    <s v="Simran Kaur"/>
    <x v="0"/>
    <s v="Delhi"/>
    <x v="2"/>
    <s v="Mobile"/>
    <s v="Samsung Galaxy"/>
    <n v="46802"/>
    <n v="2"/>
    <s v="20%"/>
    <n v="6404.64"/>
  </r>
  <r>
    <s v="ORD1097"/>
    <s v="13-08-2025"/>
    <s v="Amit Kumar"/>
    <x v="1"/>
    <s v="Bihar"/>
    <x v="1"/>
    <s v="Chair"/>
    <s v="Office Chair"/>
    <n v="33921"/>
    <n v="6"/>
    <s v="5%"/>
    <n v="8630.1299999999992"/>
  </r>
  <r>
    <s v="ORD1098"/>
    <s v="06-05-2025"/>
    <s v="Priya Verma"/>
    <x v="0"/>
    <s v="Haryana"/>
    <x v="1"/>
    <s v="Bookcase"/>
    <s v="Wooden Bookcase"/>
    <n v="60228"/>
    <n v="5"/>
    <s v="20%"/>
    <n v="6968.05"/>
  </r>
  <r>
    <s v="ORD1099"/>
    <s v="01-01-2025"/>
    <s v="Rohit Gupta"/>
    <x v="2"/>
    <s v="Kerala"/>
    <x v="2"/>
    <s v="Mobile"/>
    <s v="Samsung Galaxy"/>
    <n v="35876"/>
    <n v="8"/>
    <s v="0%"/>
    <n v="6472.51"/>
  </r>
  <r>
    <s v="ORD1100"/>
    <s v="13-08-2025"/>
    <s v="Karan Patel"/>
    <x v="1"/>
    <s v="Bihar"/>
    <x v="2"/>
    <s v="Accessories"/>
    <s v="Wireless Mouse"/>
    <n v="58980"/>
    <n v="8"/>
    <s v="10%"/>
    <n v="4368.7700000000004"/>
  </r>
  <r>
    <s v="ORD1101"/>
    <s v="08-03-2025"/>
    <s v="Simran Kaur"/>
    <x v="0"/>
    <s v="Punjab"/>
    <x v="1"/>
    <s v="Table"/>
    <s v="Study Table"/>
    <n v="5479"/>
    <n v="10"/>
    <s v="0%"/>
    <n v="659.82"/>
  </r>
  <r>
    <s v="ORD1102"/>
    <s v="07-07-2025"/>
    <s v="Priya Verma"/>
    <x v="1"/>
    <s v="West Bengal"/>
    <x v="0"/>
    <s v="Binder"/>
    <s v="A4 Binder"/>
    <n v="35586"/>
    <n v="3"/>
    <s v="15%"/>
    <n v="5715.75"/>
  </r>
  <r>
    <s v="ORD1103"/>
    <s v="08-06-2025"/>
    <s v="Simran Kaur"/>
    <x v="1"/>
    <s v="West Bengal"/>
    <x v="2"/>
    <s v="Accessories"/>
    <s v="Wireless Mouse"/>
    <n v="23970"/>
    <n v="7"/>
    <s v="5%"/>
    <n v="3124.94"/>
  </r>
  <r>
    <s v="ORD1104"/>
    <s v="17-11-2025"/>
    <s v="Neha Singh"/>
    <x v="3"/>
    <s v="Rajasthan"/>
    <x v="1"/>
    <s v="Chair"/>
    <s v="Office Chair"/>
    <n v="65002"/>
    <n v="8"/>
    <s v="10%"/>
    <n v="12875.06"/>
  </r>
  <r>
    <s v="ORD1105"/>
    <s v="23-11-2025"/>
    <s v="Amit Kumar"/>
    <x v="1"/>
    <s v="Bihar"/>
    <x v="1"/>
    <s v="Table"/>
    <s v="Study Table"/>
    <n v="70806"/>
    <n v="9"/>
    <s v="0%"/>
    <n v="14467.09"/>
  </r>
  <r>
    <s v="ORD1106"/>
    <s v="27-06-2025"/>
    <s v="Neha Singh"/>
    <x v="2"/>
    <s v="Karnataka"/>
    <x v="1"/>
    <s v="Bookcase"/>
    <s v="Wooden Bookcase"/>
    <n v="58467"/>
    <n v="1"/>
    <s v="15%"/>
    <n v="7854.3"/>
  </r>
  <r>
    <s v="ORD1107"/>
    <s v="28-11-2025"/>
    <s v="Priya Verma"/>
    <x v="1"/>
    <s v="Bihar"/>
    <x v="0"/>
    <s v="Binder"/>
    <s v="A4 Binder"/>
    <n v="58216"/>
    <n v="1"/>
    <s v="0%"/>
    <n v="10982.59"/>
  </r>
  <r>
    <s v="ORD1108"/>
    <s v="27-10-2025"/>
    <s v="Sneha Joshi"/>
    <x v="1"/>
    <s v="Odisha"/>
    <x v="1"/>
    <s v="Bookcase"/>
    <s v="Wooden Bookcase"/>
    <n v="67408"/>
    <n v="4"/>
    <s v="0%"/>
    <n v="16821.87"/>
  </r>
  <r>
    <s v="ORD1109"/>
    <s v="18-07-2025"/>
    <s v="Priya Verma"/>
    <x v="2"/>
    <s v="Kerala"/>
    <x v="2"/>
    <s v="Accessories"/>
    <s v="Wireless Mouse"/>
    <n v="61000"/>
    <n v="10"/>
    <s v="5%"/>
    <n v="9093.08"/>
  </r>
  <r>
    <s v="ORD1110"/>
    <s v="25-01-2025"/>
    <s v="Anjali Mehta"/>
    <x v="1"/>
    <s v="Bihar"/>
    <x v="1"/>
    <s v="Bookcase"/>
    <s v="Wooden Bookcase"/>
    <n v="48154"/>
    <n v="8"/>
    <s v="15%"/>
    <n v="11568.11"/>
  </r>
  <r>
    <s v="ORD1111"/>
    <s v="13-03-2025"/>
    <s v="Neha Singh"/>
    <x v="1"/>
    <s v="Bihar"/>
    <x v="1"/>
    <s v="Chair"/>
    <s v="Office Chair"/>
    <n v="43100"/>
    <n v="1"/>
    <s v="20%"/>
    <n v="9048.2900000000009"/>
  </r>
  <r>
    <s v="ORD1112"/>
    <s v="05-06-2025"/>
    <s v="Rahul Sharma"/>
    <x v="2"/>
    <s v="Karnataka"/>
    <x v="0"/>
    <s v="Binder"/>
    <s v="A4 Binder"/>
    <n v="78456"/>
    <n v="10"/>
    <s v="5%"/>
    <n v="9541.18"/>
  </r>
  <r>
    <s v="ORD1113"/>
    <s v="17-02-2025"/>
    <s v="Simran Kaur"/>
    <x v="2"/>
    <s v="Tamil Nadu"/>
    <x v="1"/>
    <s v="Bookcase"/>
    <s v="Wooden Bookcase"/>
    <n v="66888"/>
    <n v="1"/>
    <s v="20%"/>
    <n v="11412.13"/>
  </r>
  <r>
    <s v="ORD1114"/>
    <s v="26-01-2025"/>
    <s v="Rohit Gupta"/>
    <x v="0"/>
    <s v="Delhi"/>
    <x v="0"/>
    <s v="Pen"/>
    <s v="Gel Pen Set"/>
    <n v="55339"/>
    <n v="7"/>
    <s v="0%"/>
    <n v="13160.69"/>
  </r>
  <r>
    <s v="ORD1115"/>
    <s v="07-01-2025"/>
    <s v="Arjun Rana"/>
    <x v="3"/>
    <s v="Maharashtra"/>
    <x v="0"/>
    <s v="Binder"/>
    <s v="A4 Binder"/>
    <n v="26324"/>
    <n v="3"/>
    <s v="5%"/>
    <n v="6304.47"/>
  </r>
  <r>
    <s v="ORD1116"/>
    <s v="28-03-2025"/>
    <s v="Neha Singh"/>
    <x v="3"/>
    <s v="Gujarat"/>
    <x v="0"/>
    <s v="Pen"/>
    <s v="Gel Pen Set"/>
    <n v="41499"/>
    <n v="2"/>
    <s v="15%"/>
    <n v="6440.06"/>
  </r>
  <r>
    <s v="ORD1117"/>
    <s v="08-08-2025"/>
    <s v="Simran Kaur"/>
    <x v="1"/>
    <s v="Odisha"/>
    <x v="0"/>
    <s v="Pen"/>
    <s v="Gel Pen Set"/>
    <n v="14834"/>
    <n v="8"/>
    <s v="5%"/>
    <n v="2705.17"/>
  </r>
  <r>
    <s v="ORD1118"/>
    <s v="14-07-2025"/>
    <s v="Rohit Gupta"/>
    <x v="0"/>
    <s v="Haryana"/>
    <x v="2"/>
    <s v="Accessories"/>
    <s v="Wireless Mouse"/>
    <n v="44968"/>
    <n v="8"/>
    <s v="5%"/>
    <n v="5513.77"/>
  </r>
  <r>
    <s v="ORD1119"/>
    <s v="16-02-2025"/>
    <s v="Amit Kumar"/>
    <x v="1"/>
    <s v="Bihar"/>
    <x v="2"/>
    <s v="Accessories"/>
    <s v="Wireless Mouse"/>
    <n v="63330"/>
    <n v="4"/>
    <s v="5%"/>
    <n v="17336.13"/>
  </r>
  <r>
    <s v="ORD1120"/>
    <s v="30-07-2025"/>
    <s v="Karan Patel"/>
    <x v="1"/>
    <s v="Odisha"/>
    <x v="1"/>
    <s v="Chair"/>
    <s v="Office Chair"/>
    <n v="30623"/>
    <n v="4"/>
    <s v="0%"/>
    <n v="4921.3100000000004"/>
  </r>
  <r>
    <s v="ORD1121"/>
    <s v="27-06-2025"/>
    <s v="Anjali Mehta"/>
    <x v="2"/>
    <s v="Karnataka"/>
    <x v="2"/>
    <s v="Accessories"/>
    <s v="Wireless Mouse"/>
    <n v="58230"/>
    <n v="7"/>
    <s v="5%"/>
    <n v="6440.3"/>
  </r>
  <r>
    <s v="ORD1122"/>
    <s v="29-09-2025"/>
    <s v="Rahul Sharma"/>
    <x v="2"/>
    <s v="Kerala"/>
    <x v="1"/>
    <s v="Table"/>
    <s v="Study Table"/>
    <n v="14876"/>
    <n v="8"/>
    <s v="15%"/>
    <n v="2115.66"/>
  </r>
  <r>
    <s v="ORD1123"/>
    <s v="25-10-2025"/>
    <s v="Rahul Sharma"/>
    <x v="3"/>
    <s v="Gujarat"/>
    <x v="2"/>
    <s v="Laptop"/>
    <s v="HP Pavilion"/>
    <n v="70615"/>
    <n v="7"/>
    <s v="20%"/>
    <n v="17146.43"/>
  </r>
  <r>
    <s v="ORD1124"/>
    <s v="30-04-2025"/>
    <s v="Priya Verma"/>
    <x v="2"/>
    <s v="Tamil Nadu"/>
    <x v="2"/>
    <s v="Laptop"/>
    <s v="HP Pavilion"/>
    <n v="21940"/>
    <n v="7"/>
    <s v="5%"/>
    <n v="3214.33"/>
  </r>
  <r>
    <s v="ORD1125"/>
    <s v="19-02-2025"/>
    <s v="Rohit Gupta"/>
    <x v="0"/>
    <s v="Delhi"/>
    <x v="0"/>
    <s v="Binder"/>
    <s v="A4 Binder"/>
    <n v="2026"/>
    <n v="9"/>
    <s v="15%"/>
    <n v="246.16"/>
  </r>
  <r>
    <s v="ORD1126"/>
    <s v="17-05-2025"/>
    <s v="Arjun Rana"/>
    <x v="3"/>
    <s v="Gujarat"/>
    <x v="2"/>
    <s v="Mobile"/>
    <s v="Samsung Galaxy"/>
    <n v="48514"/>
    <n v="9"/>
    <s v="10%"/>
    <n v="8304.68"/>
  </r>
  <r>
    <s v="ORD1127"/>
    <s v="06-09-2025"/>
    <s v="Rohit Gupta"/>
    <x v="2"/>
    <s v="Tamil Nadu"/>
    <x v="2"/>
    <s v="Laptop"/>
    <s v="HP Pavilion"/>
    <n v="63779"/>
    <n v="9"/>
    <s v="5%"/>
    <n v="8020.35"/>
  </r>
  <r>
    <s v="ORD1128"/>
    <s v="20-04-2025"/>
    <s v="Rahul Sharma"/>
    <x v="3"/>
    <s v="Gujarat"/>
    <x v="1"/>
    <s v="Chair"/>
    <s v="Office Chair"/>
    <n v="12402"/>
    <n v="2"/>
    <s v="5%"/>
    <n v="2733.85"/>
  </r>
  <r>
    <s v="ORD1129"/>
    <s v="03-08-2025"/>
    <s v="Simran Kaur"/>
    <x v="3"/>
    <s v="Gujarat"/>
    <x v="1"/>
    <s v="Bookcase"/>
    <s v="Wooden Bookcase"/>
    <n v="13165"/>
    <n v="8"/>
    <s v="5%"/>
    <n v="1342.91"/>
  </r>
  <r>
    <s v="ORD1130"/>
    <s v="02-01-2025"/>
    <s v="Rohit Gupta"/>
    <x v="2"/>
    <s v="Tamil Nadu"/>
    <x v="0"/>
    <s v="Paper"/>
    <s v="A4 Paper Pack"/>
    <n v="27944"/>
    <n v="1"/>
    <s v="10%"/>
    <n v="4119.8500000000004"/>
  </r>
  <r>
    <s v="ORD1131"/>
    <s v="03-06-2025"/>
    <s v="Amit Kumar"/>
    <x v="0"/>
    <s v="Punjab"/>
    <x v="1"/>
    <s v="Chair"/>
    <s v="Office Chair"/>
    <n v="34640"/>
    <n v="1"/>
    <s v="0%"/>
    <n v="3385.72"/>
  </r>
  <r>
    <s v="ORD1132"/>
    <s v="14-09-2025"/>
    <s v="Anjali Mehta"/>
    <x v="0"/>
    <s v="Punjab"/>
    <x v="0"/>
    <s v="Binder"/>
    <s v="A4 Binder"/>
    <n v="45270"/>
    <n v="9"/>
    <s v="5%"/>
    <n v="12373.42"/>
  </r>
  <r>
    <s v="ORD1133"/>
    <s v="08-10-2025"/>
    <s v="Anjali Mehta"/>
    <x v="1"/>
    <s v="Bihar"/>
    <x v="0"/>
    <s v="Pen"/>
    <s v="Gel Pen Set"/>
    <n v="2858"/>
    <n v="7"/>
    <s v="20%"/>
    <n v="663.9"/>
  </r>
  <r>
    <s v="ORD1134"/>
    <s v="17-02-2025"/>
    <s v="Anjali Mehta"/>
    <x v="2"/>
    <s v="Tamil Nadu"/>
    <x v="0"/>
    <s v="Paper"/>
    <s v="A4 Paper Pack"/>
    <n v="68626"/>
    <n v="2"/>
    <s v="20%"/>
    <n v="4321.8900000000003"/>
  </r>
  <r>
    <s v="ORD1135"/>
    <s v="07-03-2025"/>
    <s v="Anjali Mehta"/>
    <x v="3"/>
    <s v="Rajasthan"/>
    <x v="1"/>
    <s v="Bookcase"/>
    <s v="Wooden Bookcase"/>
    <n v="75511"/>
    <n v="7"/>
    <s v="5%"/>
    <n v="13551.02"/>
  </r>
  <r>
    <s v="ORD1136"/>
    <s v="13-07-2025"/>
    <s v="Rohit Gupta"/>
    <x v="3"/>
    <s v="Rajasthan"/>
    <x v="2"/>
    <s v="Mobile"/>
    <s v="Samsung Galaxy"/>
    <n v="31824"/>
    <n v="6"/>
    <s v="15%"/>
    <n v="6441.68"/>
  </r>
  <r>
    <s v="ORD1137"/>
    <s v="31-08-2025"/>
    <s v="Sneha Joshi"/>
    <x v="0"/>
    <s v="Delhi"/>
    <x v="2"/>
    <s v="Accessories"/>
    <s v="Wireless Mouse"/>
    <n v="69617"/>
    <n v="8"/>
    <s v="5%"/>
    <n v="8579.75"/>
  </r>
  <r>
    <s v="ORD1138"/>
    <s v="04-05-2025"/>
    <s v="Amit Kumar"/>
    <x v="1"/>
    <s v="Bihar"/>
    <x v="2"/>
    <s v="Mobile"/>
    <s v="Samsung Galaxy"/>
    <n v="18997"/>
    <n v="1"/>
    <s v="15%"/>
    <n v="1727.18"/>
  </r>
  <r>
    <s v="ORD1139"/>
    <s v="13-03-2025"/>
    <s v="Rohit Gupta"/>
    <x v="2"/>
    <s v="Tamil Nadu"/>
    <x v="2"/>
    <s v="Accessories"/>
    <s v="Wireless Mouse"/>
    <n v="69027"/>
    <n v="2"/>
    <s v="20%"/>
    <n v="6149.1"/>
  </r>
  <r>
    <s v="ORD1140"/>
    <s v="25-07-2025"/>
    <s v="Rohit Gupta"/>
    <x v="2"/>
    <s v="Kerala"/>
    <x v="1"/>
    <s v="Table"/>
    <s v="Study Table"/>
    <n v="33505"/>
    <n v="9"/>
    <s v="5%"/>
    <n v="3540.28"/>
  </r>
  <r>
    <s v="ORD1141"/>
    <s v="14-06-2025"/>
    <s v="Priya Verma"/>
    <x v="2"/>
    <s v="Tamil Nadu"/>
    <x v="2"/>
    <s v="Accessories"/>
    <s v="Wireless Mouse"/>
    <n v="9075"/>
    <n v="8"/>
    <s v="10%"/>
    <n v="2246.2800000000002"/>
  </r>
  <r>
    <s v="ORD1142"/>
    <s v="08-12-2025"/>
    <s v="Rohit Gupta"/>
    <x v="0"/>
    <s v="Haryana"/>
    <x v="2"/>
    <s v="Mobile"/>
    <s v="Samsung Galaxy"/>
    <n v="64129"/>
    <n v="5"/>
    <s v="20%"/>
    <n v="14993.44"/>
  </r>
  <r>
    <s v="ORD1143"/>
    <s v="28-09-2025"/>
    <s v="Amit Kumar"/>
    <x v="3"/>
    <s v="Maharashtra"/>
    <x v="1"/>
    <s v="Table"/>
    <s v="Study Table"/>
    <n v="42412"/>
    <n v="1"/>
    <s v="20%"/>
    <n v="3913.68"/>
  </r>
  <r>
    <s v="ORD1144"/>
    <s v="04-03-2025"/>
    <s v="Simran Kaur"/>
    <x v="0"/>
    <s v="Delhi"/>
    <x v="1"/>
    <s v="Chair"/>
    <s v="Office Chair"/>
    <n v="15541"/>
    <n v="1"/>
    <s v="5%"/>
    <n v="1420.93"/>
  </r>
  <r>
    <s v="ORD1145"/>
    <s v="07-11-2025"/>
    <s v="Simran Kaur"/>
    <x v="3"/>
    <s v="Maharashtra"/>
    <x v="2"/>
    <s v="Accessories"/>
    <s v="Wireless Mouse"/>
    <n v="23683"/>
    <n v="1"/>
    <s v="10%"/>
    <n v="5122.58"/>
  </r>
  <r>
    <s v="ORD1146"/>
    <s v="30-09-2025"/>
    <s v="Amit Kumar"/>
    <x v="2"/>
    <s v="Tamil Nadu"/>
    <x v="1"/>
    <s v="Table"/>
    <s v="Study Table"/>
    <n v="6666"/>
    <n v="3"/>
    <s v="20%"/>
    <n v="1607.3"/>
  </r>
  <r>
    <s v="ORD1147"/>
    <s v="24-11-2025"/>
    <s v="Amit Kumar"/>
    <x v="2"/>
    <s v="Karnataka"/>
    <x v="2"/>
    <s v="Accessories"/>
    <s v="Wireless Mouse"/>
    <n v="43044"/>
    <n v="5"/>
    <s v="15%"/>
    <n v="6826.37"/>
  </r>
  <r>
    <s v="ORD1148"/>
    <s v="05-12-2025"/>
    <s v="Simran Kaur"/>
    <x v="2"/>
    <s v="Tamil Nadu"/>
    <x v="1"/>
    <s v="Bookcase"/>
    <s v="Wooden Bookcase"/>
    <n v="23140"/>
    <n v="5"/>
    <s v="15%"/>
    <n v="3666.06"/>
  </r>
  <r>
    <s v="ORD1149"/>
    <s v="17-07-2025"/>
    <s v="Sneha Joshi"/>
    <x v="2"/>
    <s v="Karnataka"/>
    <x v="2"/>
    <s v="Accessories"/>
    <s v="Wireless Mouse"/>
    <n v="1084"/>
    <n v="9"/>
    <s v="10%"/>
    <n v="145.63"/>
  </r>
  <r>
    <s v="ORD1150"/>
    <s v="29-05-2025"/>
    <s v="Rahul Sharma"/>
    <x v="1"/>
    <s v="Bihar"/>
    <x v="0"/>
    <s v="Pen"/>
    <s v="Gel Pen Set"/>
    <n v="42656"/>
    <n v="4"/>
    <s v="20%"/>
    <n v="7814.42"/>
  </r>
  <r>
    <s v="ORD1151"/>
    <s v="18-10-2025"/>
    <s v="Anjali Mehta"/>
    <x v="0"/>
    <s v="Punjab"/>
    <x v="2"/>
    <s v="Laptop"/>
    <s v="HP Pavilion"/>
    <n v="74932"/>
    <n v="7"/>
    <s v="10%"/>
    <n v="8303.02"/>
  </r>
  <r>
    <s v="ORD1152"/>
    <s v="07-12-2025"/>
    <s v="Neha Singh"/>
    <x v="3"/>
    <s v="Rajasthan"/>
    <x v="2"/>
    <s v="Laptop"/>
    <s v="HP Pavilion"/>
    <n v="36804"/>
    <n v="9"/>
    <s v="0%"/>
    <n v="4687.13"/>
  </r>
  <r>
    <s v="ORD1153"/>
    <s v="09-05-2025"/>
    <s v="Simran Kaur"/>
    <x v="1"/>
    <s v="Bihar"/>
    <x v="0"/>
    <s v="Pen"/>
    <s v="Gel Pen Set"/>
    <n v="59851"/>
    <n v="9"/>
    <s v="0%"/>
    <n v="11362.58"/>
  </r>
  <r>
    <s v="ORD1154"/>
    <s v="23-05-2025"/>
    <s v="Sneha Joshi"/>
    <x v="3"/>
    <s v="Maharashtra"/>
    <x v="2"/>
    <s v="Accessories"/>
    <s v="Wireless Mouse"/>
    <n v="40833"/>
    <n v="4"/>
    <s v="20%"/>
    <n v="9390.7199999999993"/>
  </r>
  <r>
    <s v="ORD1155"/>
    <s v="01-10-2025"/>
    <s v="Sneha Joshi"/>
    <x v="3"/>
    <s v="Rajasthan"/>
    <x v="2"/>
    <s v="Accessories"/>
    <s v="Wireless Mouse"/>
    <n v="54695"/>
    <n v="7"/>
    <s v="5%"/>
    <n v="13976.41"/>
  </r>
  <r>
    <s v="ORD1156"/>
    <s v="26-09-2025"/>
    <s v="Amit Kumar"/>
    <x v="2"/>
    <s v="Karnataka"/>
    <x v="2"/>
    <s v="Accessories"/>
    <s v="Wireless Mouse"/>
    <n v="44504"/>
    <n v="3"/>
    <s v="15%"/>
    <n v="8785.81"/>
  </r>
  <r>
    <s v="ORD1157"/>
    <s v="09-11-2025"/>
    <s v="Sneha Joshi"/>
    <x v="1"/>
    <s v="West Bengal"/>
    <x v="1"/>
    <s v="Table"/>
    <s v="Study Table"/>
    <n v="1423"/>
    <n v="5"/>
    <s v="15%"/>
    <n v="184.09"/>
  </r>
  <r>
    <s v="ORD1158"/>
    <s v="20-06-2025"/>
    <s v="Sneha Joshi"/>
    <x v="3"/>
    <s v="Maharashtra"/>
    <x v="0"/>
    <s v="Binder"/>
    <s v="A4 Binder"/>
    <n v="47767"/>
    <n v="8"/>
    <s v="20%"/>
    <n v="5453.95"/>
  </r>
  <r>
    <s v="ORD1159"/>
    <s v="05-05-2025"/>
    <s v="Karan Patel"/>
    <x v="0"/>
    <s v="Punjab"/>
    <x v="0"/>
    <s v="Binder"/>
    <s v="A4 Binder"/>
    <n v="5097"/>
    <n v="6"/>
    <s v="5%"/>
    <n v="1201.26"/>
  </r>
  <r>
    <s v="ORD1160"/>
    <s v="30-05-2025"/>
    <s v="Priya Verma"/>
    <x v="1"/>
    <s v="Bihar"/>
    <x v="0"/>
    <s v="Binder"/>
    <s v="A4 Binder"/>
    <n v="20713"/>
    <n v="1"/>
    <s v="0%"/>
    <n v="3535.88"/>
  </r>
  <r>
    <s v="ORD1161"/>
    <s v="08-07-2025"/>
    <s v="Neha Singh"/>
    <x v="1"/>
    <s v="Odisha"/>
    <x v="0"/>
    <s v="Paper"/>
    <s v="A4 Paper Pack"/>
    <n v="38229"/>
    <n v="1"/>
    <s v="0%"/>
    <n v="8249.2000000000007"/>
  </r>
  <r>
    <s v="ORD1162"/>
    <s v="16-05-2025"/>
    <s v="Simran Kaur"/>
    <x v="3"/>
    <s v="Maharashtra"/>
    <x v="0"/>
    <s v="Pen"/>
    <s v="Gel Pen Set"/>
    <n v="29318"/>
    <n v="9"/>
    <s v="0%"/>
    <n v="3288.43"/>
  </r>
  <r>
    <s v="ORD1163"/>
    <s v="23-09-2025"/>
    <s v="Rahul Sharma"/>
    <x v="3"/>
    <s v="Gujarat"/>
    <x v="1"/>
    <s v="Chair"/>
    <s v="Office Chair"/>
    <n v="14919"/>
    <n v="2"/>
    <s v="5%"/>
    <n v="1653.52"/>
  </r>
  <r>
    <s v="ORD1164"/>
    <s v="26-11-2025"/>
    <s v="Karan Patel"/>
    <x v="1"/>
    <s v="Odisha"/>
    <x v="1"/>
    <s v="Bookcase"/>
    <s v="Wooden Bookcase"/>
    <n v="40456"/>
    <n v="8"/>
    <s v="10%"/>
    <n v="9631.7000000000007"/>
  </r>
  <r>
    <s v="ORD1165"/>
    <s v="06-05-2025"/>
    <s v="Karan Patel"/>
    <x v="0"/>
    <s v="Punjab"/>
    <x v="1"/>
    <s v="Bookcase"/>
    <s v="Wooden Bookcase"/>
    <n v="73573"/>
    <n v="1"/>
    <s v="5%"/>
    <n v="20167.16"/>
  </r>
  <r>
    <s v="ORD1166"/>
    <s v="24-05-2025"/>
    <s v="Karan Patel"/>
    <x v="3"/>
    <s v="Rajasthan"/>
    <x v="0"/>
    <s v="Pen"/>
    <s v="Gel Pen Set"/>
    <n v="36845"/>
    <n v="1"/>
    <s v="0%"/>
    <n v="9852.17"/>
  </r>
  <r>
    <s v="ORD1167"/>
    <s v="11-07-2025"/>
    <s v="Neha Singh"/>
    <x v="2"/>
    <s v="Tamil Nadu"/>
    <x v="1"/>
    <s v="Bookcase"/>
    <s v="Wooden Bookcase"/>
    <n v="68502"/>
    <n v="3"/>
    <s v="15%"/>
    <n v="5245.4"/>
  </r>
  <r>
    <s v="ORD1168"/>
    <s v="01-12-2025"/>
    <s v="Amit Kumar"/>
    <x v="3"/>
    <s v="Maharashtra"/>
    <x v="1"/>
    <s v="Chair"/>
    <s v="Office Chair"/>
    <n v="22132"/>
    <n v="8"/>
    <s v="15%"/>
    <n v="1729.91"/>
  </r>
  <r>
    <s v="ORD1169"/>
    <s v="03-11-2025"/>
    <s v="Rahul Sharma"/>
    <x v="3"/>
    <s v="Rajasthan"/>
    <x v="0"/>
    <s v="Binder"/>
    <s v="A4 Binder"/>
    <n v="30241"/>
    <n v="3"/>
    <s v="5%"/>
    <n v="8190.02"/>
  </r>
  <r>
    <s v="ORD1170"/>
    <s v="31-05-2025"/>
    <s v="Simran Kaur"/>
    <x v="3"/>
    <s v="Gujarat"/>
    <x v="0"/>
    <s v="Paper"/>
    <s v="A4 Paper Pack"/>
    <n v="7148"/>
    <n v="8"/>
    <s v="5%"/>
    <n v="1618.63"/>
  </r>
  <r>
    <s v="ORD1171"/>
    <s v="21-11-2025"/>
    <s v="Arjun Rana"/>
    <x v="1"/>
    <s v="Bihar"/>
    <x v="0"/>
    <s v="Binder"/>
    <s v="A4 Binder"/>
    <n v="29915"/>
    <n v="6"/>
    <s v="20%"/>
    <n v="7325.59"/>
  </r>
  <r>
    <s v="ORD1172"/>
    <s v="22-02-2025"/>
    <s v="Rohit Gupta"/>
    <x v="3"/>
    <s v="Gujarat"/>
    <x v="0"/>
    <s v="Pen"/>
    <s v="Gel Pen Set"/>
    <n v="35983"/>
    <n v="1"/>
    <s v="15%"/>
    <n v="8265.91"/>
  </r>
  <r>
    <s v="ORD1173"/>
    <s v="21-03-2025"/>
    <s v="Rahul Sharma"/>
    <x v="1"/>
    <s v="Odisha"/>
    <x v="1"/>
    <s v="Table"/>
    <s v="Study Table"/>
    <n v="54146"/>
    <n v="2"/>
    <s v="5%"/>
    <n v="5252.42"/>
  </r>
  <r>
    <s v="ORD1174"/>
    <s v="09-10-2025"/>
    <s v="Neha Singh"/>
    <x v="0"/>
    <s v="Delhi"/>
    <x v="1"/>
    <s v="Table"/>
    <s v="Study Table"/>
    <n v="3883"/>
    <n v="4"/>
    <s v="10%"/>
    <n v="716.14"/>
  </r>
  <r>
    <s v="ORD1175"/>
    <s v="26-09-2025"/>
    <s v="Rohit Gupta"/>
    <x v="0"/>
    <s v="Haryana"/>
    <x v="0"/>
    <s v="Pen"/>
    <s v="Gel Pen Set"/>
    <n v="75993"/>
    <n v="1"/>
    <s v="5%"/>
    <n v="19526.48"/>
  </r>
  <r>
    <s v="ORD1176"/>
    <s v="09-04-2025"/>
    <s v="Amit Kumar"/>
    <x v="1"/>
    <s v="Odisha"/>
    <x v="0"/>
    <s v="Binder"/>
    <s v="A4 Binder"/>
    <n v="39651"/>
    <n v="10"/>
    <s v="10%"/>
    <n v="7095.31"/>
  </r>
  <r>
    <s v="ORD1177"/>
    <s v="15-12-2025"/>
    <s v="Amit Kumar"/>
    <x v="1"/>
    <s v="Bihar"/>
    <x v="0"/>
    <s v="Binder"/>
    <s v="A4 Binder"/>
    <n v="73860"/>
    <n v="6"/>
    <s v="0%"/>
    <n v="6757.89"/>
  </r>
  <r>
    <s v="ORD1178"/>
    <s v="22-09-2025"/>
    <s v="Arjun Rana"/>
    <x v="0"/>
    <s v="Punjab"/>
    <x v="1"/>
    <s v="Bookcase"/>
    <s v="Wooden Bookcase"/>
    <n v="33628"/>
    <n v="7"/>
    <s v="5%"/>
    <n v="7974.23"/>
  </r>
  <r>
    <s v="ORD1179"/>
    <s v="16-06-2025"/>
    <s v="Rahul Sharma"/>
    <x v="1"/>
    <s v="Bihar"/>
    <x v="2"/>
    <s v="Laptop"/>
    <s v="HP Pavilion"/>
    <n v="76361"/>
    <n v="4"/>
    <s v="15%"/>
    <n v="9323.98"/>
  </r>
  <r>
    <s v="ORD1180"/>
    <s v="15-02-2025"/>
    <s v="Amit Kumar"/>
    <x v="1"/>
    <s v="Bihar"/>
    <x v="1"/>
    <s v="Bookcase"/>
    <s v="Wooden Bookcase"/>
    <n v="13305"/>
    <n v="5"/>
    <s v="0%"/>
    <n v="3698.95"/>
  </r>
  <r>
    <s v="ORD1181"/>
    <s v="30-11-2025"/>
    <s v="Simran Kaur"/>
    <x v="3"/>
    <s v="Gujarat"/>
    <x v="0"/>
    <s v="Binder"/>
    <s v="A4 Binder"/>
    <n v="39183"/>
    <n v="7"/>
    <s v="10%"/>
    <n v="8559.33"/>
  </r>
  <r>
    <s v="ORD1182"/>
    <s v="07-10-2025"/>
    <s v="Sneha Joshi"/>
    <x v="0"/>
    <s v="Haryana"/>
    <x v="1"/>
    <s v="Bookcase"/>
    <s v="Wooden Bookcase"/>
    <n v="53670"/>
    <n v="9"/>
    <s v="5%"/>
    <n v="12735.12"/>
  </r>
  <r>
    <s v="ORD1183"/>
    <s v="01-07-2025"/>
    <s v="Rohit Gupta"/>
    <x v="2"/>
    <s v="Kerala"/>
    <x v="2"/>
    <s v="Mobile"/>
    <s v="Samsung Galaxy"/>
    <n v="31194"/>
    <n v="8"/>
    <s v="10%"/>
    <n v="4762.42"/>
  </r>
  <r>
    <s v="ORD1184"/>
    <s v="05-07-2025"/>
    <s v="Anjali Mehta"/>
    <x v="1"/>
    <s v="West Bengal"/>
    <x v="2"/>
    <s v="Accessories"/>
    <s v="Wireless Mouse"/>
    <n v="42947"/>
    <n v="6"/>
    <s v="15%"/>
    <n v="9638.75"/>
  </r>
  <r>
    <s v="ORD1185"/>
    <s v="27-02-2025"/>
    <s v="Karan Patel"/>
    <x v="1"/>
    <s v="West Bengal"/>
    <x v="2"/>
    <s v="Mobile"/>
    <s v="Samsung Galaxy"/>
    <n v="2966"/>
    <n v="1"/>
    <s v="5%"/>
    <n v="454.62"/>
  </r>
  <r>
    <s v="ORD1186"/>
    <s v="11-11-2025"/>
    <s v="Karan Patel"/>
    <x v="1"/>
    <s v="West Bengal"/>
    <x v="1"/>
    <s v="Table"/>
    <s v="Study Table"/>
    <n v="48509"/>
    <n v="10"/>
    <s v="5%"/>
    <n v="7673.42"/>
  </r>
  <r>
    <s v="ORD1187"/>
    <s v="03-11-2025"/>
    <s v="Sneha Joshi"/>
    <x v="0"/>
    <s v="Delhi"/>
    <x v="2"/>
    <s v="Mobile"/>
    <s v="Samsung Galaxy"/>
    <n v="23003"/>
    <n v="10"/>
    <s v="0%"/>
    <n v="5306.94"/>
  </r>
  <r>
    <s v="ORD1188"/>
    <s v="30-09-2025"/>
    <s v="Priya Verma"/>
    <x v="0"/>
    <s v="Delhi"/>
    <x v="1"/>
    <s v="Chair"/>
    <s v="Office Chair"/>
    <n v="32323"/>
    <n v="9"/>
    <s v="0%"/>
    <n v="7943.55"/>
  </r>
  <r>
    <s v="ORD1189"/>
    <s v="12-12-2025"/>
    <s v="Sneha Joshi"/>
    <x v="1"/>
    <s v="Odisha"/>
    <x v="0"/>
    <s v="Binder"/>
    <s v="A4 Binder"/>
    <n v="38647"/>
    <n v="10"/>
    <s v="5%"/>
    <n v="2998.68"/>
  </r>
  <r>
    <s v="ORD1190"/>
    <s v="05-04-2025"/>
    <s v="Arjun Rana"/>
    <x v="2"/>
    <s v="Karnataka"/>
    <x v="1"/>
    <s v="Chair"/>
    <s v="Office Chair"/>
    <n v="71703"/>
    <n v="4"/>
    <s v="15%"/>
    <n v="6138.11"/>
  </r>
  <r>
    <s v="ORD1191"/>
    <s v="23-07-2025"/>
    <s v="Simran Kaur"/>
    <x v="0"/>
    <s v="Haryana"/>
    <x v="1"/>
    <s v="Bookcase"/>
    <s v="Wooden Bookcase"/>
    <n v="35981"/>
    <n v="9"/>
    <s v="15%"/>
    <n v="7860.01"/>
  </r>
  <r>
    <s v="ORD1192"/>
    <s v="18-07-2025"/>
    <s v="Priya Verma"/>
    <x v="0"/>
    <s v="Haryana"/>
    <x v="0"/>
    <s v="Binder"/>
    <s v="A4 Binder"/>
    <n v="37464"/>
    <n v="9"/>
    <s v="15%"/>
    <n v="3173.56"/>
  </r>
  <r>
    <s v="ORD1193"/>
    <s v="20-01-2025"/>
    <s v="Rahul Sharma"/>
    <x v="0"/>
    <s v="Punjab"/>
    <x v="0"/>
    <s v="Pen"/>
    <s v="Gel Pen Set"/>
    <n v="42598"/>
    <n v="9"/>
    <s v="20%"/>
    <n v="2882.79"/>
  </r>
  <r>
    <s v="ORD1194"/>
    <s v="01-01-2025"/>
    <s v="Arjun Rana"/>
    <x v="2"/>
    <s v="Tamil Nadu"/>
    <x v="0"/>
    <s v="Paper"/>
    <s v="A4 Paper Pack"/>
    <n v="5617"/>
    <n v="9"/>
    <s v="20%"/>
    <n v="650.4"/>
  </r>
  <r>
    <s v="ORD1195"/>
    <s v="27-05-2025"/>
    <s v="Neha Singh"/>
    <x v="3"/>
    <s v="Maharashtra"/>
    <x v="2"/>
    <s v="Mobile"/>
    <s v="Samsung Galaxy"/>
    <n v="69928"/>
    <n v="5"/>
    <s v="15%"/>
    <n v="9342.7000000000007"/>
  </r>
  <r>
    <s v="ORD1196"/>
    <s v="08-06-2025"/>
    <s v="Rahul Sharma"/>
    <x v="2"/>
    <s v="Tamil Nadu"/>
    <x v="2"/>
    <s v="Accessories"/>
    <s v="Wireless Mouse"/>
    <n v="38589"/>
    <n v="5"/>
    <s v="10%"/>
    <n v="6358.95"/>
  </r>
  <r>
    <s v="ORD1197"/>
    <s v="19-09-2025"/>
    <s v="Rohit Gupta"/>
    <x v="3"/>
    <s v="Rajasthan"/>
    <x v="0"/>
    <s v="Paper"/>
    <s v="A4 Paper Pack"/>
    <n v="1167"/>
    <n v="8"/>
    <s v="15%"/>
    <n v="123.38"/>
  </r>
  <r>
    <s v="ORD1198"/>
    <s v="03-08-2025"/>
    <s v="Simran Kaur"/>
    <x v="1"/>
    <s v="Odisha"/>
    <x v="1"/>
    <s v="Bookcase"/>
    <s v="Wooden Bookcase"/>
    <n v="53293"/>
    <n v="2"/>
    <s v="0%"/>
    <n v="11037.01"/>
  </r>
  <r>
    <s v="ORD1199"/>
    <s v="19-09-2025"/>
    <s v="Sneha Joshi"/>
    <x v="0"/>
    <s v="Haryana"/>
    <x v="0"/>
    <s v="Pen"/>
    <s v="Gel Pen Set"/>
    <n v="68474"/>
    <n v="3"/>
    <s v="0%"/>
    <n v="16138.03"/>
  </r>
  <r>
    <s v="ORD1200"/>
    <s v="04-08-2025"/>
    <s v="Rohit Gupta"/>
    <x v="0"/>
    <s v="Haryana"/>
    <x v="2"/>
    <s v="Mobile"/>
    <s v="Samsung Galaxy"/>
    <n v="27197"/>
    <n v="7"/>
    <s v="5%"/>
    <n v="5866.1"/>
  </r>
  <r>
    <s v="ORD1201"/>
    <s v="09-11-2025"/>
    <s v="Rohit Gupta"/>
    <x v="1"/>
    <s v="Bihar"/>
    <x v="1"/>
    <s v="Bookcase"/>
    <s v="Wooden Bookcase"/>
    <n v="29771"/>
    <n v="1"/>
    <s v="10%"/>
    <n v="2910.49"/>
  </r>
  <r>
    <s v="ORD1202"/>
    <s v="16-10-2025"/>
    <s v="Amit Kumar"/>
    <x v="0"/>
    <s v="Delhi"/>
    <x v="0"/>
    <s v="Paper"/>
    <s v="A4 Paper Pack"/>
    <n v="39479"/>
    <n v="7"/>
    <s v="10%"/>
    <n v="7247.87"/>
  </r>
  <r>
    <s v="ORD1203"/>
    <s v="21-07-2025"/>
    <s v="Sneha Joshi"/>
    <x v="0"/>
    <s v="Punjab"/>
    <x v="1"/>
    <s v="Bookcase"/>
    <s v="Wooden Bookcase"/>
    <n v="51557"/>
    <n v="6"/>
    <s v="5%"/>
    <n v="7906.34"/>
  </r>
  <r>
    <s v="ORD1204"/>
    <s v="11-10-2025"/>
    <s v="Amit Kumar"/>
    <x v="3"/>
    <s v="Rajasthan"/>
    <x v="0"/>
    <s v="Paper"/>
    <s v="A4 Paper Pack"/>
    <n v="32191"/>
    <n v="8"/>
    <s v="10%"/>
    <n v="4966.68"/>
  </r>
  <r>
    <s v="ORD1205"/>
    <s v="23-09-2025"/>
    <s v="Sneha Joshi"/>
    <x v="0"/>
    <s v="Haryana"/>
    <x v="2"/>
    <s v="Laptop"/>
    <s v="HP Pavilion"/>
    <n v="19464"/>
    <n v="2"/>
    <s v="5%"/>
    <n v="4784.8500000000004"/>
  </r>
  <r>
    <s v="ORD1206"/>
    <s v="09-10-2025"/>
    <s v="Arjun Rana"/>
    <x v="3"/>
    <s v="Maharashtra"/>
    <x v="0"/>
    <s v="Binder"/>
    <s v="A4 Binder"/>
    <n v="41224"/>
    <n v="2"/>
    <s v="20%"/>
    <n v="4745.42"/>
  </r>
  <r>
    <s v="ORD1207"/>
    <s v="15-03-2025"/>
    <s v="Amit Kumar"/>
    <x v="1"/>
    <s v="West Bengal"/>
    <x v="0"/>
    <s v="Pen"/>
    <s v="Gel Pen Set"/>
    <n v="45696"/>
    <n v="3"/>
    <s v="0%"/>
    <n v="10236.31"/>
  </r>
  <r>
    <s v="ORD1208"/>
    <s v="08-07-2025"/>
    <s v="Anjali Mehta"/>
    <x v="0"/>
    <s v="Haryana"/>
    <x v="1"/>
    <s v="Chair"/>
    <s v="Office Chair"/>
    <n v="41690"/>
    <n v="8"/>
    <s v="5%"/>
    <n v="9045.8700000000008"/>
  </r>
  <r>
    <s v="ORD1209"/>
    <s v="02-08-2025"/>
    <s v="Neha Singh"/>
    <x v="0"/>
    <s v="Haryana"/>
    <x v="2"/>
    <s v="Mobile"/>
    <s v="Samsung Galaxy"/>
    <n v="69457"/>
    <n v="9"/>
    <s v="20%"/>
    <n v="10512.2"/>
  </r>
  <r>
    <s v="ORD1210"/>
    <s v="22-07-2025"/>
    <s v="Rahul Sharma"/>
    <x v="0"/>
    <s v="Delhi"/>
    <x v="1"/>
    <s v="Chair"/>
    <s v="Office Chair"/>
    <n v="60281"/>
    <n v="4"/>
    <s v="15%"/>
    <n v="15409.69"/>
  </r>
  <r>
    <s v="ORD1211"/>
    <s v="27-02-2025"/>
    <s v="Anjali Mehta"/>
    <x v="3"/>
    <s v="Maharashtra"/>
    <x v="1"/>
    <s v="Bookcase"/>
    <s v="Wooden Bookcase"/>
    <n v="66068"/>
    <n v="9"/>
    <s v="15%"/>
    <n v="14629.47"/>
  </r>
  <r>
    <s v="ORD1212"/>
    <s v="10-07-2025"/>
    <s v="Anjali Mehta"/>
    <x v="0"/>
    <s v="Haryana"/>
    <x v="2"/>
    <s v="Mobile"/>
    <s v="Samsung Galaxy"/>
    <n v="53800"/>
    <n v="1"/>
    <s v="10%"/>
    <n v="6838.32"/>
  </r>
  <r>
    <s v="ORD1213"/>
    <s v="20-05-2025"/>
    <s v="Rahul Sharma"/>
    <x v="1"/>
    <s v="West Bengal"/>
    <x v="2"/>
    <s v="Mobile"/>
    <s v="Samsung Galaxy"/>
    <n v="31512"/>
    <n v="10"/>
    <s v="10%"/>
    <n v="8433.5300000000007"/>
  </r>
  <r>
    <s v="ORD1214"/>
    <s v="17-02-2025"/>
    <s v="Amit Kumar"/>
    <x v="3"/>
    <s v="Gujarat"/>
    <x v="2"/>
    <s v="Mobile"/>
    <s v="Samsung Galaxy"/>
    <n v="2511"/>
    <n v="3"/>
    <s v="0%"/>
    <n v="521.12"/>
  </r>
  <r>
    <s v="ORD1215"/>
    <s v="13-11-2025"/>
    <s v="Simran Kaur"/>
    <x v="3"/>
    <s v="Gujarat"/>
    <x v="1"/>
    <s v="Chair"/>
    <s v="Office Chair"/>
    <n v="71051"/>
    <n v="2"/>
    <s v="20%"/>
    <n v="10108.81"/>
  </r>
  <r>
    <s v="ORD1216"/>
    <s v="29-06-2025"/>
    <s v="Neha Singh"/>
    <x v="2"/>
    <s v="Kerala"/>
    <x v="0"/>
    <s v="Binder"/>
    <s v="A4 Binder"/>
    <n v="79054"/>
    <n v="6"/>
    <s v="5%"/>
    <n v="20547.46"/>
  </r>
  <r>
    <s v="ORD1217"/>
    <s v="26-04-2025"/>
    <s v="Karan Patel"/>
    <x v="1"/>
    <s v="West Bengal"/>
    <x v="2"/>
    <s v="Accessories"/>
    <s v="Wireless Mouse"/>
    <n v="75767"/>
    <n v="7"/>
    <s v="0%"/>
    <n v="15383.4"/>
  </r>
  <r>
    <s v="ORD1218"/>
    <s v="11-06-2025"/>
    <s v="Rahul Sharma"/>
    <x v="0"/>
    <s v="Haryana"/>
    <x v="1"/>
    <s v="Bookcase"/>
    <s v="Wooden Bookcase"/>
    <n v="2066"/>
    <n v="4"/>
    <s v="0%"/>
    <n v="279.69"/>
  </r>
  <r>
    <s v="ORD1219"/>
    <s v="12-05-2025"/>
    <s v="Priya Verma"/>
    <x v="0"/>
    <s v="Haryana"/>
    <x v="0"/>
    <s v="Binder"/>
    <s v="A4 Binder"/>
    <n v="31688"/>
    <n v="5"/>
    <s v="20%"/>
    <n v="4987.55"/>
  </r>
  <r>
    <s v="ORD1220"/>
    <s v="18-09-2025"/>
    <s v="Rahul Sharma"/>
    <x v="2"/>
    <s v="Kerala"/>
    <x v="2"/>
    <s v="Mobile"/>
    <s v="Samsung Galaxy"/>
    <n v="41843"/>
    <n v="10"/>
    <s v="5%"/>
    <n v="7459.79"/>
  </r>
  <r>
    <s v="ORD1221"/>
    <s v="28-11-2025"/>
    <s v="Amit Kumar"/>
    <x v="2"/>
    <s v="Tamil Nadu"/>
    <x v="2"/>
    <s v="Accessories"/>
    <s v="Wireless Mouse"/>
    <n v="69387"/>
    <n v="10"/>
    <s v="15%"/>
    <n v="8831.82"/>
  </r>
  <r>
    <s v="ORD1222"/>
    <s v="20-09-2025"/>
    <s v="Simran Kaur"/>
    <x v="0"/>
    <s v="Delhi"/>
    <x v="0"/>
    <s v="Paper"/>
    <s v="A4 Paper Pack"/>
    <n v="52750"/>
    <n v="8"/>
    <s v="5%"/>
    <n v="12030.81"/>
  </r>
  <r>
    <s v="ORD1223"/>
    <s v="17-11-2025"/>
    <s v="Rohit Gupta"/>
    <x v="3"/>
    <s v="Maharashtra"/>
    <x v="2"/>
    <s v="Laptop"/>
    <s v="HP Pavilion"/>
    <n v="73997"/>
    <n v="8"/>
    <s v="20%"/>
    <n v="16570.29"/>
  </r>
  <r>
    <s v="ORD1224"/>
    <s v="13-09-2025"/>
    <s v="Rahul Sharma"/>
    <x v="2"/>
    <s v="Kerala"/>
    <x v="0"/>
    <s v="Binder"/>
    <s v="A4 Binder"/>
    <n v="45202"/>
    <n v="10"/>
    <s v="0%"/>
    <n v="7158.64"/>
  </r>
  <r>
    <s v="ORD1225"/>
    <s v="20-04-2025"/>
    <s v="Rohit Gupta"/>
    <x v="3"/>
    <s v="Maharashtra"/>
    <x v="1"/>
    <s v="Table"/>
    <s v="Study Table"/>
    <n v="3476"/>
    <n v="8"/>
    <s v="15%"/>
    <n v="372.93"/>
  </r>
  <r>
    <s v="ORD1226"/>
    <s v="19-08-2025"/>
    <s v="Amit Kumar"/>
    <x v="1"/>
    <s v="West Bengal"/>
    <x v="1"/>
    <s v="Bookcase"/>
    <s v="Wooden Bookcase"/>
    <n v="61204"/>
    <n v="6"/>
    <s v="0%"/>
    <n v="10686.46"/>
  </r>
  <r>
    <s v="ORD1227"/>
    <s v="15-10-2025"/>
    <s v="Rohit Gupta"/>
    <x v="0"/>
    <s v="Punjab"/>
    <x v="1"/>
    <s v="Table"/>
    <s v="Study Table"/>
    <n v="13187"/>
    <n v="1"/>
    <s v="20%"/>
    <n v="2333.14"/>
  </r>
  <r>
    <s v="ORD1228"/>
    <s v="25-10-2025"/>
    <s v="Arjun Rana"/>
    <x v="3"/>
    <s v="Gujarat"/>
    <x v="0"/>
    <s v="Paper"/>
    <s v="A4 Paper Pack"/>
    <n v="69005"/>
    <n v="8"/>
    <s v="15%"/>
    <n v="7924.46"/>
  </r>
  <r>
    <s v="ORD1229"/>
    <s v="20-06-2025"/>
    <s v="Arjun Rana"/>
    <x v="0"/>
    <s v="Haryana"/>
    <x v="1"/>
    <s v="Table"/>
    <s v="Study Table"/>
    <n v="6433"/>
    <n v="5"/>
    <s v="20%"/>
    <n v="497.9"/>
  </r>
  <r>
    <s v="ORD1230"/>
    <s v="12-05-2025"/>
    <s v="Simran Kaur"/>
    <x v="0"/>
    <s v="Punjab"/>
    <x v="2"/>
    <s v="Accessories"/>
    <s v="Wireless Mouse"/>
    <n v="40084"/>
    <n v="5"/>
    <s v="20%"/>
    <n v="8302.6"/>
  </r>
  <r>
    <s v="ORD1231"/>
    <s v="15-09-2025"/>
    <s v="Karan Patel"/>
    <x v="1"/>
    <s v="Bihar"/>
    <x v="1"/>
    <s v="Table"/>
    <s v="Study Table"/>
    <n v="46415"/>
    <n v="1"/>
    <s v="0%"/>
    <n v="11074.2"/>
  </r>
  <r>
    <s v="ORD1232"/>
    <s v="12-12-2025"/>
    <s v="Sneha Joshi"/>
    <x v="2"/>
    <s v="Tamil Nadu"/>
    <x v="1"/>
    <s v="Table"/>
    <s v="Study Table"/>
    <n v="3692"/>
    <n v="5"/>
    <s v="15%"/>
    <n v="941.67"/>
  </r>
  <r>
    <s v="ORD1233"/>
    <s v="19-04-2025"/>
    <s v="Priya Verma"/>
    <x v="1"/>
    <s v="Odisha"/>
    <x v="2"/>
    <s v="Mobile"/>
    <s v="Samsung Galaxy"/>
    <n v="78618"/>
    <n v="5"/>
    <s v="5%"/>
    <n v="10103.39"/>
  </r>
  <r>
    <s v="ORD1234"/>
    <s v="24-02-2025"/>
    <s v="Rohit Gupta"/>
    <x v="0"/>
    <s v="Haryana"/>
    <x v="0"/>
    <s v="Binder"/>
    <s v="A4 Binder"/>
    <n v="40219"/>
    <n v="4"/>
    <s v="15%"/>
    <n v="9636.3700000000008"/>
  </r>
  <r>
    <s v="ORD1235"/>
    <s v="18-01-2025"/>
    <s v="Priya Verma"/>
    <x v="2"/>
    <s v="Karnataka"/>
    <x v="2"/>
    <s v="Mobile"/>
    <s v="Samsung Galaxy"/>
    <n v="22769"/>
    <n v="1"/>
    <s v="20%"/>
    <n v="3822.24"/>
  </r>
  <r>
    <s v="ORD1236"/>
    <s v="16-05-2025"/>
    <s v="Amit Kumar"/>
    <x v="3"/>
    <s v="Rajasthan"/>
    <x v="2"/>
    <s v="Laptop"/>
    <s v="HP Pavilion"/>
    <n v="1894"/>
    <n v="8"/>
    <s v="0%"/>
    <n v="344.51"/>
  </r>
  <r>
    <s v="ORD1237"/>
    <s v="21-12-2025"/>
    <s v="Amit Kumar"/>
    <x v="1"/>
    <s v="Bihar"/>
    <x v="1"/>
    <s v="Table"/>
    <s v="Study Table"/>
    <n v="59400"/>
    <n v="2"/>
    <s v="5%"/>
    <n v="16236.37"/>
  </r>
  <r>
    <s v="ORD1238"/>
    <s v="18-01-2025"/>
    <s v="Neha Singh"/>
    <x v="1"/>
    <s v="West Bengal"/>
    <x v="2"/>
    <s v="Accessories"/>
    <s v="Wireless Mouse"/>
    <n v="46827"/>
    <n v="7"/>
    <s v="0%"/>
    <n v="7014.11"/>
  </r>
  <r>
    <s v="ORD1239"/>
    <s v="12-04-2025"/>
    <s v="Karan Patel"/>
    <x v="0"/>
    <s v="Delhi"/>
    <x v="2"/>
    <s v="Accessories"/>
    <s v="Wireless Mouse"/>
    <n v="59664"/>
    <n v="7"/>
    <s v="10%"/>
    <n v="7631.66"/>
  </r>
  <r>
    <s v="ORD1240"/>
    <s v="25-02-2025"/>
    <s v="Simran Kaur"/>
    <x v="1"/>
    <s v="Bihar"/>
    <x v="2"/>
    <s v="Mobile"/>
    <s v="Samsung Galaxy"/>
    <n v="21580"/>
    <n v="9"/>
    <s v="10%"/>
    <n v="5160.9399999999996"/>
  </r>
  <r>
    <s v="ORD1241"/>
    <s v="22-02-2025"/>
    <s v="Rohit Gupta"/>
    <x v="3"/>
    <s v="Gujarat"/>
    <x v="2"/>
    <s v="Mobile"/>
    <s v="Samsung Galaxy"/>
    <n v="840"/>
    <n v="9"/>
    <s v="15%"/>
    <n v="217.46"/>
  </r>
  <r>
    <s v="ORD1242"/>
    <s v="13-08-2025"/>
    <s v="Neha Singh"/>
    <x v="0"/>
    <s v="Punjab"/>
    <x v="1"/>
    <s v="Chair"/>
    <s v="Office Chair"/>
    <n v="13862"/>
    <n v="4"/>
    <s v="5%"/>
    <n v="1154.81"/>
  </r>
  <r>
    <s v="ORD1243"/>
    <s v="05-05-2025"/>
    <s v="Neha Singh"/>
    <x v="0"/>
    <s v="Haryana"/>
    <x v="2"/>
    <s v="Mobile"/>
    <s v="Samsung Galaxy"/>
    <n v="7052"/>
    <n v="9"/>
    <s v="5%"/>
    <n v="1355.78"/>
  </r>
  <r>
    <s v="ORD1244"/>
    <s v="14-02-2025"/>
    <s v="Rahul Sharma"/>
    <x v="0"/>
    <s v="Delhi"/>
    <x v="0"/>
    <s v="Pen"/>
    <s v="Gel Pen Set"/>
    <n v="10999"/>
    <n v="9"/>
    <s v="15%"/>
    <n v="1591.75"/>
  </r>
  <r>
    <s v="ORD1245"/>
    <s v="11-02-2025"/>
    <s v="Amit Kumar"/>
    <x v="0"/>
    <s v="Punjab"/>
    <x v="2"/>
    <s v="Mobile"/>
    <s v="Samsung Galaxy"/>
    <n v="11703"/>
    <n v="7"/>
    <s v="15%"/>
    <n v="2587.79"/>
  </r>
  <r>
    <s v="ORD1246"/>
    <s v="11-03-2025"/>
    <s v="Priya Verma"/>
    <x v="0"/>
    <s v="Punjab"/>
    <x v="0"/>
    <s v="Pen"/>
    <s v="Gel Pen Set"/>
    <n v="51460"/>
    <n v="7"/>
    <s v="0%"/>
    <n v="8124.45"/>
  </r>
  <r>
    <s v="ORD1247"/>
    <s v="03-07-2025"/>
    <s v="Neha Singh"/>
    <x v="3"/>
    <s v="Maharashtra"/>
    <x v="2"/>
    <s v="Laptop"/>
    <s v="HP Pavilion"/>
    <n v="47189"/>
    <n v="6"/>
    <s v="15%"/>
    <n v="11827.54"/>
  </r>
  <r>
    <s v="ORD1248"/>
    <s v="15-12-2025"/>
    <s v="Rahul Sharma"/>
    <x v="1"/>
    <s v="West Bengal"/>
    <x v="0"/>
    <s v="Pen"/>
    <s v="Gel Pen Set"/>
    <n v="16134"/>
    <n v="8"/>
    <s v="20%"/>
    <n v="3307.11"/>
  </r>
  <r>
    <s v="ORD1249"/>
    <s v="24-11-2025"/>
    <s v="Arjun Rana"/>
    <x v="3"/>
    <s v="Gujarat"/>
    <x v="1"/>
    <s v="Table"/>
    <s v="Study Table"/>
    <n v="48619"/>
    <n v="2"/>
    <s v="15%"/>
    <n v="12456.72"/>
  </r>
  <r>
    <s v="ORD1250"/>
    <s v="25-12-2025"/>
    <s v="Simran Kaur"/>
    <x v="2"/>
    <s v="Karnataka"/>
    <x v="1"/>
    <s v="Chair"/>
    <s v="Office Chair"/>
    <n v="40953"/>
    <n v="10"/>
    <s v="20%"/>
    <n v="5784.25"/>
  </r>
  <r>
    <s v="ORD1251"/>
    <s v="08-12-2025"/>
    <s v="Rohit Gupta"/>
    <x v="3"/>
    <s v="Gujarat"/>
    <x v="1"/>
    <s v="Table"/>
    <s v="Study Table"/>
    <n v="60590"/>
    <n v="6"/>
    <s v="5%"/>
    <n v="6353.08"/>
  </r>
  <r>
    <s v="ORD1252"/>
    <s v="07-03-2025"/>
    <s v="Priya Verma"/>
    <x v="1"/>
    <s v="Odisha"/>
    <x v="0"/>
    <s v="Pen"/>
    <s v="Gel Pen Set"/>
    <n v="19399"/>
    <n v="3"/>
    <s v="15%"/>
    <n v="3629.31"/>
  </r>
  <r>
    <s v="ORD1253"/>
    <s v="18-12-2025"/>
    <s v="Neha Singh"/>
    <x v="0"/>
    <s v="Punjab"/>
    <x v="1"/>
    <s v="Table"/>
    <s v="Study Table"/>
    <n v="41967"/>
    <n v="6"/>
    <s v="15%"/>
    <n v="10360.299999999999"/>
  </r>
  <r>
    <s v="ORD1254"/>
    <s v="28-12-2025"/>
    <s v="Rohit Gupta"/>
    <x v="3"/>
    <s v="Rajasthan"/>
    <x v="1"/>
    <s v="Chair"/>
    <s v="Office Chair"/>
    <n v="73159"/>
    <n v="2"/>
    <s v="5%"/>
    <n v="15770.05"/>
  </r>
  <r>
    <s v="ORD1255"/>
    <s v="18-05-2025"/>
    <s v="Neha Singh"/>
    <x v="1"/>
    <s v="West Bengal"/>
    <x v="0"/>
    <s v="Binder"/>
    <s v="A4 Binder"/>
    <n v="39098"/>
    <n v="7"/>
    <s v="0%"/>
    <n v="10664.55"/>
  </r>
  <r>
    <s v="ORD1256"/>
    <s v="04-09-2025"/>
    <s v="Karan Patel"/>
    <x v="2"/>
    <s v="Karnataka"/>
    <x v="2"/>
    <s v="Accessories"/>
    <s v="Wireless Mouse"/>
    <n v="54733"/>
    <n v="2"/>
    <s v="15%"/>
    <n v="10590.14"/>
  </r>
  <r>
    <s v="ORD1257"/>
    <s v="22-10-2025"/>
    <s v="Priya Verma"/>
    <x v="0"/>
    <s v="Delhi"/>
    <x v="0"/>
    <s v="Binder"/>
    <s v="A4 Binder"/>
    <n v="1991"/>
    <n v="4"/>
    <s v="10%"/>
    <n v="395.02"/>
  </r>
  <r>
    <s v="ORD1258"/>
    <s v="24-09-2025"/>
    <s v="Sneha Joshi"/>
    <x v="2"/>
    <s v="Karnataka"/>
    <x v="2"/>
    <s v="Laptop"/>
    <s v="HP Pavilion"/>
    <n v="9971"/>
    <n v="3"/>
    <s v="5%"/>
    <n v="2662.62"/>
  </r>
  <r>
    <s v="ORD1259"/>
    <s v="12-07-2025"/>
    <s v="Simran Kaur"/>
    <x v="3"/>
    <s v="Rajasthan"/>
    <x v="1"/>
    <s v="Bookcase"/>
    <s v="Wooden Bookcase"/>
    <n v="37711"/>
    <n v="2"/>
    <s v="15%"/>
    <n v="9699.7000000000007"/>
  </r>
  <r>
    <s v="ORD1260"/>
    <s v="29-07-2025"/>
    <s v="Priya Verma"/>
    <x v="1"/>
    <s v="West Bengal"/>
    <x v="1"/>
    <s v="Bookcase"/>
    <s v="Wooden Bookcase"/>
    <n v="11657"/>
    <n v="10"/>
    <s v="5%"/>
    <n v="1314.64"/>
  </r>
  <r>
    <s v="ORD1261"/>
    <s v="15-08-2025"/>
    <s v="Simran Kaur"/>
    <x v="1"/>
    <s v="West Bengal"/>
    <x v="0"/>
    <s v="Binder"/>
    <s v="A4 Binder"/>
    <n v="18997"/>
    <n v="8"/>
    <s v="0%"/>
    <n v="2436.65"/>
  </r>
  <r>
    <s v="ORD1262"/>
    <s v="23-10-2025"/>
    <s v="Amit Kumar"/>
    <x v="2"/>
    <s v="Karnataka"/>
    <x v="0"/>
    <s v="Pen"/>
    <s v="Gel Pen Set"/>
    <n v="71807"/>
    <n v="8"/>
    <s v="5%"/>
    <n v="16692.8"/>
  </r>
  <r>
    <s v="ORD1263"/>
    <s v="18-08-2025"/>
    <s v="Arjun Rana"/>
    <x v="2"/>
    <s v="Karnataka"/>
    <x v="0"/>
    <s v="Paper"/>
    <s v="A4 Paper Pack"/>
    <n v="48363"/>
    <n v="10"/>
    <s v="10%"/>
    <n v="11740.48"/>
  </r>
  <r>
    <s v="ORD1264"/>
    <s v="30-05-2025"/>
    <s v="Sneha Joshi"/>
    <x v="0"/>
    <s v="Haryana"/>
    <x v="0"/>
    <s v="Paper"/>
    <s v="A4 Paper Pack"/>
    <n v="37905"/>
    <n v="9"/>
    <s v="0%"/>
    <n v="5254.61"/>
  </r>
  <r>
    <s v="ORD1265"/>
    <s v="09-10-2025"/>
    <s v="Priya Verma"/>
    <x v="0"/>
    <s v="Haryana"/>
    <x v="2"/>
    <s v="Laptop"/>
    <s v="HP Pavilion"/>
    <n v="38534"/>
    <n v="3"/>
    <s v="0%"/>
    <n v="9074.24"/>
  </r>
  <r>
    <s v="ORD1266"/>
    <s v="13-03-2025"/>
    <s v="Anjali Mehta"/>
    <x v="1"/>
    <s v="Odisha"/>
    <x v="2"/>
    <s v="Accessories"/>
    <s v="Wireless Mouse"/>
    <n v="4474"/>
    <n v="7"/>
    <s v="0%"/>
    <n v="609.74"/>
  </r>
  <r>
    <s v="ORD1267"/>
    <s v="09-12-2025"/>
    <s v="Sneha Joshi"/>
    <x v="2"/>
    <s v="Karnataka"/>
    <x v="1"/>
    <s v="Table"/>
    <s v="Study Table"/>
    <n v="48872"/>
    <n v="10"/>
    <s v="15%"/>
    <n v="3825.78"/>
  </r>
  <r>
    <s v="ORD1268"/>
    <s v="09-04-2025"/>
    <s v="Rohit Gupta"/>
    <x v="3"/>
    <s v="Rajasthan"/>
    <x v="0"/>
    <s v="Paper"/>
    <s v="A4 Paper Pack"/>
    <n v="31003"/>
    <n v="6"/>
    <s v="0%"/>
    <n v="4251.22"/>
  </r>
  <r>
    <s v="ORD1269"/>
    <s v="08-07-2025"/>
    <s v="Rohit Gupta"/>
    <x v="2"/>
    <s v="Kerala"/>
    <x v="1"/>
    <s v="Chair"/>
    <s v="Office Chair"/>
    <n v="61191"/>
    <n v="10"/>
    <s v="20%"/>
    <n v="7061.67"/>
  </r>
  <r>
    <s v="ORD1270"/>
    <s v="16-04-2025"/>
    <s v="Arjun Rana"/>
    <x v="1"/>
    <s v="Odisha"/>
    <x v="0"/>
    <s v="Pen"/>
    <s v="Gel Pen Set"/>
    <n v="55158"/>
    <n v="3"/>
    <s v="5%"/>
    <n v="10832.6"/>
  </r>
  <r>
    <s v="ORD1271"/>
    <s v="30-12-2025"/>
    <s v="Sneha Joshi"/>
    <x v="1"/>
    <s v="West Bengal"/>
    <x v="2"/>
    <s v="Mobile"/>
    <s v="Samsung Galaxy"/>
    <n v="2010"/>
    <n v="2"/>
    <s v="15%"/>
    <n v="487.76"/>
  </r>
  <r>
    <s v="ORD1272"/>
    <s v="30-07-2025"/>
    <s v="Sneha Joshi"/>
    <x v="3"/>
    <s v="Gujarat"/>
    <x v="1"/>
    <s v="Bookcase"/>
    <s v="Wooden Bookcase"/>
    <n v="33677"/>
    <n v="5"/>
    <s v="5%"/>
    <n v="4246.97"/>
  </r>
  <r>
    <s v="ORD1273"/>
    <s v="13-09-2025"/>
    <s v="Amit Kumar"/>
    <x v="1"/>
    <s v="Bihar"/>
    <x v="1"/>
    <s v="Chair"/>
    <s v="Office Chair"/>
    <n v="42340"/>
    <n v="4"/>
    <s v="20%"/>
    <n v="4274.75"/>
  </r>
  <r>
    <s v="ORD1274"/>
    <s v="18-12-2025"/>
    <s v="Rohit Gupta"/>
    <x v="2"/>
    <s v="Tamil Nadu"/>
    <x v="0"/>
    <s v="Binder"/>
    <s v="A4 Binder"/>
    <n v="38873"/>
    <n v="1"/>
    <s v="5%"/>
    <n v="9707.02"/>
  </r>
  <r>
    <s v="ORD1275"/>
    <s v="11-05-2025"/>
    <s v="Amit Kumar"/>
    <x v="0"/>
    <s v="Punjab"/>
    <x v="1"/>
    <s v="Chair"/>
    <s v="Office Chair"/>
    <n v="27158"/>
    <n v="5"/>
    <s v="15%"/>
    <n v="6764.26"/>
  </r>
  <r>
    <s v="ORD1276"/>
    <s v="19-08-2025"/>
    <s v="Neha Singh"/>
    <x v="2"/>
    <s v="Karnataka"/>
    <x v="1"/>
    <s v="Table"/>
    <s v="Study Table"/>
    <n v="5095"/>
    <n v="7"/>
    <s v="10%"/>
    <n v="606.35"/>
  </r>
  <r>
    <s v="ORD1277"/>
    <s v="11-04-2025"/>
    <s v="Simran Kaur"/>
    <x v="0"/>
    <s v="Punjab"/>
    <x v="2"/>
    <s v="Mobile"/>
    <s v="Samsung Galaxy"/>
    <n v="26995"/>
    <n v="7"/>
    <s v="15%"/>
    <n v="4924"/>
  </r>
  <r>
    <s v="ORD1278"/>
    <s v="11-01-2025"/>
    <s v="Amit Kumar"/>
    <x v="1"/>
    <s v="West Bengal"/>
    <x v="1"/>
    <s v="Table"/>
    <s v="Study Table"/>
    <n v="9653"/>
    <n v="5"/>
    <s v="15%"/>
    <n v="1104.1600000000001"/>
  </r>
  <r>
    <s v="ORD1279"/>
    <s v="11-10-2025"/>
    <s v="Rohit Gupta"/>
    <x v="1"/>
    <s v="Odisha"/>
    <x v="0"/>
    <s v="Binder"/>
    <s v="A4 Binder"/>
    <n v="4344"/>
    <n v="5"/>
    <s v="15%"/>
    <n v="801.71"/>
  </r>
  <r>
    <s v="ORD1280"/>
    <s v="24-10-2025"/>
    <s v="Arjun Rana"/>
    <x v="3"/>
    <s v="Maharashtra"/>
    <x v="1"/>
    <s v="Table"/>
    <s v="Study Table"/>
    <n v="20921"/>
    <n v="2"/>
    <s v="20%"/>
    <n v="3599.36"/>
  </r>
  <r>
    <s v="ORD1281"/>
    <s v="22-03-2025"/>
    <s v="Anjali Mehta"/>
    <x v="1"/>
    <s v="Odisha"/>
    <x v="1"/>
    <s v="Table"/>
    <s v="Study Table"/>
    <n v="53780"/>
    <n v="8"/>
    <s v="20%"/>
    <n v="4422.99"/>
  </r>
  <r>
    <s v="ORD1282"/>
    <s v="08-04-2025"/>
    <s v="Arjun Rana"/>
    <x v="0"/>
    <s v="Punjab"/>
    <x v="1"/>
    <s v="Chair"/>
    <s v="Office Chair"/>
    <n v="27533"/>
    <n v="1"/>
    <s v="20%"/>
    <n v="3115.96"/>
  </r>
  <r>
    <s v="ORD1283"/>
    <s v="30-07-2025"/>
    <s v="Neha Singh"/>
    <x v="2"/>
    <s v="Tamil Nadu"/>
    <x v="0"/>
    <s v="Paper"/>
    <s v="A4 Paper Pack"/>
    <n v="66886"/>
    <n v="7"/>
    <s v="20%"/>
    <n v="7070.38"/>
  </r>
  <r>
    <s v="ORD1284"/>
    <s v="25-10-2025"/>
    <s v="Arjun Rana"/>
    <x v="3"/>
    <s v="Rajasthan"/>
    <x v="1"/>
    <s v="Table"/>
    <s v="Study Table"/>
    <n v="72797"/>
    <n v="8"/>
    <s v="0%"/>
    <n v="18255.36"/>
  </r>
  <r>
    <s v="ORD1285"/>
    <s v="26-04-2025"/>
    <s v="Rohit Gupta"/>
    <x v="1"/>
    <s v="West Bengal"/>
    <x v="1"/>
    <s v="Table"/>
    <s v="Study Table"/>
    <n v="15018"/>
    <n v="8"/>
    <s v="15%"/>
    <n v="3123.07"/>
  </r>
  <r>
    <s v="ORD1286"/>
    <s v="02-02-2025"/>
    <s v="Priya Verma"/>
    <x v="1"/>
    <s v="Bihar"/>
    <x v="0"/>
    <s v="Pen"/>
    <s v="Gel Pen Set"/>
    <n v="53085"/>
    <n v="8"/>
    <s v="0%"/>
    <n v="14183.61"/>
  </r>
  <r>
    <s v="ORD1287"/>
    <s v="03-05-2025"/>
    <s v="Karan Patel"/>
    <x v="0"/>
    <s v="Haryana"/>
    <x v="0"/>
    <s v="Pen"/>
    <s v="Gel Pen Set"/>
    <n v="58494"/>
    <n v="7"/>
    <s v="20%"/>
    <n v="13907.91"/>
  </r>
  <r>
    <s v="ORD1288"/>
    <s v="07-10-2025"/>
    <s v="Neha Singh"/>
    <x v="3"/>
    <s v="Maharashtra"/>
    <x v="1"/>
    <s v="Bookcase"/>
    <s v="Wooden Bookcase"/>
    <n v="1329"/>
    <n v="2"/>
    <s v="0%"/>
    <n v="231.68"/>
  </r>
  <r>
    <s v="ORD1289"/>
    <s v="12-10-2025"/>
    <s v="Rohit Gupta"/>
    <x v="2"/>
    <s v="Tamil Nadu"/>
    <x v="0"/>
    <s v="Paper"/>
    <s v="A4 Paper Pack"/>
    <n v="52339"/>
    <n v="5"/>
    <s v="10%"/>
    <n v="4603.37"/>
  </r>
  <r>
    <s v="ORD1290"/>
    <s v="09-05-2025"/>
    <s v="Neha Singh"/>
    <x v="0"/>
    <s v="Punjab"/>
    <x v="1"/>
    <s v="Chair"/>
    <s v="Office Chair"/>
    <n v="36231"/>
    <n v="3"/>
    <s v="20%"/>
    <n v="7303.6"/>
  </r>
  <r>
    <s v="ORD1291"/>
    <s v="24-12-2025"/>
    <s v="Rahul Sharma"/>
    <x v="2"/>
    <s v="Tamil Nadu"/>
    <x v="1"/>
    <s v="Chair"/>
    <s v="Office Chair"/>
    <n v="72117"/>
    <n v="4"/>
    <s v="5%"/>
    <n v="9506.93"/>
  </r>
  <r>
    <s v="ORD1292"/>
    <s v="09-06-2025"/>
    <s v="Anjali Mehta"/>
    <x v="0"/>
    <s v="Punjab"/>
    <x v="1"/>
    <s v="Bookcase"/>
    <s v="Wooden Bookcase"/>
    <n v="53605"/>
    <n v="7"/>
    <s v="5%"/>
    <n v="7013.7"/>
  </r>
  <r>
    <s v="ORD1293"/>
    <s v="23-10-2025"/>
    <s v="Rohit Gupta"/>
    <x v="1"/>
    <s v="West Bengal"/>
    <x v="2"/>
    <s v="Accessories"/>
    <s v="Wireless Mouse"/>
    <n v="25708"/>
    <n v="4"/>
    <s v="10%"/>
    <n v="6283.03"/>
  </r>
  <r>
    <s v="ORD1294"/>
    <s v="17-08-2025"/>
    <s v="Arjun Rana"/>
    <x v="2"/>
    <s v="Tamil Nadu"/>
    <x v="1"/>
    <s v="Bookcase"/>
    <s v="Wooden Bookcase"/>
    <n v="67937"/>
    <n v="6"/>
    <s v="20%"/>
    <n v="10285.540000000001"/>
  </r>
  <r>
    <s v="ORD1295"/>
    <s v="16-11-2025"/>
    <s v="Neha Singh"/>
    <x v="0"/>
    <s v="Delhi"/>
    <x v="1"/>
    <s v="Table"/>
    <s v="Study Table"/>
    <n v="65367"/>
    <n v="7"/>
    <s v="15%"/>
    <n v="15667.81"/>
  </r>
  <r>
    <s v="ORD1296"/>
    <s v="07-03-2025"/>
    <s v="Simran Kaur"/>
    <x v="1"/>
    <s v="West Bengal"/>
    <x v="2"/>
    <s v="Laptop"/>
    <s v="HP Pavilion"/>
    <n v="78406"/>
    <n v="7"/>
    <s v="10%"/>
    <n v="14053.4"/>
  </r>
  <r>
    <s v="ORD1297"/>
    <s v="21-09-2025"/>
    <s v="Arjun Rana"/>
    <x v="3"/>
    <s v="Rajasthan"/>
    <x v="2"/>
    <s v="Accessories"/>
    <s v="Wireless Mouse"/>
    <n v="47680"/>
    <n v="6"/>
    <s v="15%"/>
    <n v="10636.12"/>
  </r>
  <r>
    <s v="ORD1298"/>
    <s v="24-11-2025"/>
    <s v="Priya Verma"/>
    <x v="3"/>
    <s v="Rajasthan"/>
    <x v="1"/>
    <s v="Bookcase"/>
    <s v="Wooden Bookcase"/>
    <n v="3766"/>
    <n v="1"/>
    <s v="20%"/>
    <n v="642.41999999999996"/>
  </r>
  <r>
    <s v="ORD1299"/>
    <s v="14-10-2025"/>
    <s v="Priya Verma"/>
    <x v="0"/>
    <s v="Haryana"/>
    <x v="1"/>
    <s v="Bookcase"/>
    <s v="Wooden Bookcase"/>
    <n v="26719"/>
    <n v="2"/>
    <s v="15%"/>
    <n v="3718.14"/>
  </r>
  <r>
    <s v="ORD1300"/>
    <s v="24-12-2025"/>
    <s v="Arjun Rana"/>
    <x v="2"/>
    <s v="Tamil Nadu"/>
    <x v="2"/>
    <s v="Mobile"/>
    <s v="Samsung Galaxy"/>
    <n v="1808"/>
    <n v="10"/>
    <s v="0%"/>
    <n v="458.93"/>
  </r>
  <r>
    <s v="ORD1301"/>
    <s v="03-12-2025"/>
    <s v="Rohit Gupta"/>
    <x v="0"/>
    <s v="Delhi"/>
    <x v="2"/>
    <s v="Accessories"/>
    <s v="Wireless Mouse"/>
    <n v="46979"/>
    <n v="10"/>
    <s v="20%"/>
    <n v="11836.18"/>
  </r>
  <r>
    <s v="ORD1302"/>
    <s v="17-09-2025"/>
    <s v="Rohit Gupta"/>
    <x v="0"/>
    <s v="Haryana"/>
    <x v="1"/>
    <s v="Chair"/>
    <s v="Office Chair"/>
    <n v="66579"/>
    <n v="4"/>
    <s v="0%"/>
    <n v="14424.65"/>
  </r>
  <r>
    <s v="ORD1303"/>
    <s v="21-11-2025"/>
    <s v="Arjun Rana"/>
    <x v="2"/>
    <s v="Karnataka"/>
    <x v="1"/>
    <s v="Chair"/>
    <s v="Office Chair"/>
    <n v="44559"/>
    <n v="2"/>
    <s v="20%"/>
    <n v="9650.4500000000007"/>
  </r>
  <r>
    <s v="ORD1304"/>
    <s v="22-07-2025"/>
    <s v="Sneha Joshi"/>
    <x v="1"/>
    <s v="West Bengal"/>
    <x v="2"/>
    <s v="Laptop"/>
    <s v="HP Pavilion"/>
    <n v="57875"/>
    <n v="6"/>
    <s v="20%"/>
    <n v="8926.66"/>
  </r>
  <r>
    <s v="ORD1305"/>
    <s v="15-10-2025"/>
    <s v="Neha Singh"/>
    <x v="3"/>
    <s v="Rajasthan"/>
    <x v="0"/>
    <s v="Paper"/>
    <s v="A4 Paper Pack"/>
    <n v="52336"/>
    <n v="10"/>
    <s v="0%"/>
    <n v="11338.67"/>
  </r>
  <r>
    <s v="ORD1306"/>
    <s v="12-11-2025"/>
    <s v="Amit Kumar"/>
    <x v="1"/>
    <s v="Odisha"/>
    <x v="1"/>
    <s v="Table"/>
    <s v="Study Table"/>
    <n v="56792"/>
    <n v="10"/>
    <s v="20%"/>
    <n v="8633.0300000000007"/>
  </r>
  <r>
    <s v="ORD1307"/>
    <s v="07-03-2025"/>
    <s v="Rohit Gupta"/>
    <x v="1"/>
    <s v="Bihar"/>
    <x v="0"/>
    <s v="Binder"/>
    <s v="A4 Binder"/>
    <n v="20380"/>
    <n v="9"/>
    <s v="15%"/>
    <n v="4092.07"/>
  </r>
  <r>
    <s v="ORD1308"/>
    <s v="06-05-2025"/>
    <s v="Sneha Joshi"/>
    <x v="0"/>
    <s v="Delhi"/>
    <x v="2"/>
    <s v="Mobile"/>
    <s v="Samsung Galaxy"/>
    <n v="1484"/>
    <n v="2"/>
    <s v="15%"/>
    <n v="140.34"/>
  </r>
  <r>
    <s v="ORD1309"/>
    <s v="08-06-2025"/>
    <s v="Karan Patel"/>
    <x v="3"/>
    <s v="Rajasthan"/>
    <x v="2"/>
    <s v="Laptop"/>
    <s v="HP Pavilion"/>
    <n v="72895"/>
    <n v="5"/>
    <s v="15%"/>
    <n v="6601.62"/>
  </r>
  <r>
    <s v="ORD1310"/>
    <s v="17-07-2025"/>
    <s v="Rahul Sharma"/>
    <x v="3"/>
    <s v="Rajasthan"/>
    <x v="2"/>
    <s v="Mobile"/>
    <s v="Samsung Galaxy"/>
    <n v="35456"/>
    <n v="1"/>
    <s v="0%"/>
    <n v="9762.77"/>
  </r>
  <r>
    <s v="ORD1311"/>
    <s v="20-02-2025"/>
    <s v="Simran Kaur"/>
    <x v="2"/>
    <s v="Kerala"/>
    <x v="0"/>
    <s v="Binder"/>
    <s v="A4 Binder"/>
    <n v="6617"/>
    <n v="3"/>
    <s v="0%"/>
    <n v="1300.26"/>
  </r>
  <r>
    <s v="ORD1312"/>
    <s v="14-07-2025"/>
    <s v="Karan Patel"/>
    <x v="0"/>
    <s v="Delhi"/>
    <x v="1"/>
    <s v="Bookcase"/>
    <s v="Wooden Bookcase"/>
    <n v="29629"/>
    <n v="9"/>
    <s v="0%"/>
    <n v="7017.94"/>
  </r>
  <r>
    <s v="ORD1313"/>
    <s v="19-11-2025"/>
    <s v="Arjun Rana"/>
    <x v="1"/>
    <s v="West Bengal"/>
    <x v="1"/>
    <s v="Chair"/>
    <s v="Office Chair"/>
    <n v="5550"/>
    <n v="1"/>
    <s v="0%"/>
    <n v="1156.26"/>
  </r>
  <r>
    <s v="ORD1314"/>
    <s v="26-10-2025"/>
    <s v="Priya Verma"/>
    <x v="0"/>
    <s v="Haryana"/>
    <x v="2"/>
    <s v="Mobile"/>
    <s v="Samsung Galaxy"/>
    <n v="12218"/>
    <n v="3"/>
    <s v="20%"/>
    <n v="2788.91"/>
  </r>
  <r>
    <s v="ORD1315"/>
    <s v="24-04-2025"/>
    <s v="Priya Verma"/>
    <x v="0"/>
    <s v="Haryana"/>
    <x v="1"/>
    <s v="Bookcase"/>
    <s v="Wooden Bookcase"/>
    <n v="18972"/>
    <n v="5"/>
    <s v="15%"/>
    <n v="2406.0500000000002"/>
  </r>
  <r>
    <s v="ORD1316"/>
    <s v="03-07-2025"/>
    <s v="Arjun Rana"/>
    <x v="3"/>
    <s v="Maharashtra"/>
    <x v="1"/>
    <s v="Table"/>
    <s v="Study Table"/>
    <n v="58774"/>
    <n v="10"/>
    <s v="10%"/>
    <n v="8859.11"/>
  </r>
  <r>
    <s v="ORD1317"/>
    <s v="25-08-2025"/>
    <s v="Sneha Joshi"/>
    <x v="0"/>
    <s v="Punjab"/>
    <x v="1"/>
    <s v="Bookcase"/>
    <s v="Wooden Bookcase"/>
    <n v="18861"/>
    <n v="8"/>
    <s v="20%"/>
    <n v="3436.6"/>
  </r>
  <r>
    <s v="ORD1318"/>
    <s v="29-10-2025"/>
    <s v="Simran Kaur"/>
    <x v="0"/>
    <s v="Haryana"/>
    <x v="1"/>
    <s v="Table"/>
    <s v="Study Table"/>
    <n v="39950"/>
    <n v="5"/>
    <s v="10%"/>
    <n v="7298.18"/>
  </r>
  <r>
    <s v="ORD1319"/>
    <s v="24-09-2025"/>
    <s v="Arjun Rana"/>
    <x v="1"/>
    <s v="West Bengal"/>
    <x v="1"/>
    <s v="Chair"/>
    <s v="Office Chair"/>
    <n v="71309"/>
    <n v="8"/>
    <s v="20%"/>
    <n v="18402.75"/>
  </r>
  <r>
    <s v="ORD1320"/>
    <s v="30-06-2025"/>
    <s v="Karan Patel"/>
    <x v="3"/>
    <s v="Rajasthan"/>
    <x v="1"/>
    <s v="Bookcase"/>
    <s v="Wooden Bookcase"/>
    <n v="60287"/>
    <n v="9"/>
    <s v="5%"/>
    <n v="6004.13"/>
  </r>
  <r>
    <s v="ORD1321"/>
    <s v="18-09-2025"/>
    <s v="Karan Patel"/>
    <x v="2"/>
    <s v="Karnataka"/>
    <x v="1"/>
    <s v="Table"/>
    <s v="Study Table"/>
    <n v="66733"/>
    <n v="2"/>
    <s v="0%"/>
    <n v="14703.47"/>
  </r>
  <r>
    <s v="ORD1322"/>
    <s v="22-06-2025"/>
    <s v="Rohit Gupta"/>
    <x v="3"/>
    <s v="Maharashtra"/>
    <x v="2"/>
    <s v="Mobile"/>
    <s v="Samsung Galaxy"/>
    <n v="60129"/>
    <n v="1"/>
    <s v="0%"/>
    <n v="11891.98"/>
  </r>
  <r>
    <s v="ORD1323"/>
    <s v="25-09-2025"/>
    <s v="Rahul Sharma"/>
    <x v="0"/>
    <s v="Haryana"/>
    <x v="1"/>
    <s v="Bookcase"/>
    <s v="Wooden Bookcase"/>
    <n v="14485"/>
    <n v="6"/>
    <s v="10%"/>
    <n v="3318.27"/>
  </r>
  <r>
    <s v="ORD1324"/>
    <s v="01-04-2025"/>
    <s v="Neha Singh"/>
    <x v="1"/>
    <s v="West Bengal"/>
    <x v="1"/>
    <s v="Bookcase"/>
    <s v="Wooden Bookcase"/>
    <n v="19018"/>
    <n v="7"/>
    <s v="0%"/>
    <n v="2029.79"/>
  </r>
  <r>
    <s v="ORD1325"/>
    <s v="05-01-2025"/>
    <s v="Neha Singh"/>
    <x v="1"/>
    <s v="West Bengal"/>
    <x v="0"/>
    <s v="Paper"/>
    <s v="A4 Paper Pack"/>
    <n v="62972"/>
    <n v="1"/>
    <s v="5%"/>
    <n v="12641.89"/>
  </r>
  <r>
    <s v="ORD1326"/>
    <s v="28-10-2025"/>
    <s v="Amit Kumar"/>
    <x v="2"/>
    <s v="Karnataka"/>
    <x v="2"/>
    <s v="Accessories"/>
    <s v="Wireless Mouse"/>
    <n v="69905"/>
    <n v="10"/>
    <s v="15%"/>
    <n v="13482.22"/>
  </r>
  <r>
    <s v="ORD1327"/>
    <s v="08-09-2025"/>
    <s v="Arjun Rana"/>
    <x v="0"/>
    <s v="Delhi"/>
    <x v="1"/>
    <s v="Bookcase"/>
    <s v="Wooden Bookcase"/>
    <n v="65797"/>
    <n v="4"/>
    <s v="15%"/>
    <n v="6259.17"/>
  </r>
  <r>
    <s v="ORD1328"/>
    <s v="23-08-2025"/>
    <s v="Amit Kumar"/>
    <x v="2"/>
    <s v="Tamil Nadu"/>
    <x v="0"/>
    <s v="Binder"/>
    <s v="A4 Binder"/>
    <n v="52419"/>
    <n v="6"/>
    <s v="10%"/>
    <n v="5805.02"/>
  </r>
  <r>
    <s v="ORD1329"/>
    <s v="10-10-2025"/>
    <s v="Neha Singh"/>
    <x v="2"/>
    <s v="Kerala"/>
    <x v="1"/>
    <s v="Chair"/>
    <s v="Office Chair"/>
    <n v="17059"/>
    <n v="7"/>
    <s v="15%"/>
    <n v="2073.4699999999998"/>
  </r>
  <r>
    <s v="ORD1330"/>
    <s v="23-01-2025"/>
    <s v="Amit Kumar"/>
    <x v="2"/>
    <s v="Tamil Nadu"/>
    <x v="1"/>
    <s v="Bookcase"/>
    <s v="Wooden Bookcase"/>
    <n v="36373"/>
    <n v="6"/>
    <s v="10%"/>
    <n v="5328.88"/>
  </r>
  <r>
    <s v="ORD1331"/>
    <s v="23-08-2025"/>
    <s v="Sneha Joshi"/>
    <x v="3"/>
    <s v="Gujarat"/>
    <x v="1"/>
    <s v="Bookcase"/>
    <s v="Wooden Bookcase"/>
    <n v="75216"/>
    <n v="9"/>
    <s v="10%"/>
    <n v="10143.31"/>
  </r>
  <r>
    <s v="ORD1332"/>
    <s v="29-09-2025"/>
    <s v="Arjun Rana"/>
    <x v="3"/>
    <s v="Rajasthan"/>
    <x v="0"/>
    <s v="Binder"/>
    <s v="A4 Binder"/>
    <n v="8670"/>
    <n v="2"/>
    <s v="0%"/>
    <n v="1202.78"/>
  </r>
  <r>
    <s v="ORD1333"/>
    <s v="11-12-2025"/>
    <s v="Priya Verma"/>
    <x v="1"/>
    <s v="West Bengal"/>
    <x v="0"/>
    <s v="Pen"/>
    <s v="Gel Pen Set"/>
    <n v="43387"/>
    <n v="3"/>
    <s v="15%"/>
    <n v="11164.93"/>
  </r>
  <r>
    <s v="ORD1334"/>
    <s v="17-11-2025"/>
    <s v="Amit Kumar"/>
    <x v="3"/>
    <s v="Rajasthan"/>
    <x v="1"/>
    <s v="Bookcase"/>
    <s v="Wooden Bookcase"/>
    <n v="14847"/>
    <n v="1"/>
    <s v="0%"/>
    <n v="2596.33"/>
  </r>
  <r>
    <s v="ORD1335"/>
    <s v="10-09-2025"/>
    <s v="Priya Verma"/>
    <x v="2"/>
    <s v="Tamil Nadu"/>
    <x v="0"/>
    <s v="Pen"/>
    <s v="Gel Pen Set"/>
    <n v="29356"/>
    <n v="6"/>
    <s v="15%"/>
    <n v="2587.69"/>
  </r>
  <r>
    <s v="ORD1336"/>
    <s v="29-08-2025"/>
    <s v="Neha Singh"/>
    <x v="0"/>
    <s v="Punjab"/>
    <x v="0"/>
    <s v="Pen"/>
    <s v="Gel Pen Set"/>
    <n v="59649"/>
    <n v="3"/>
    <s v="5%"/>
    <n v="8654.6299999999992"/>
  </r>
  <r>
    <s v="ORD1337"/>
    <s v="04-06-2025"/>
    <s v="Rohit Gupta"/>
    <x v="2"/>
    <s v="Tamil Nadu"/>
    <x v="1"/>
    <s v="Table"/>
    <s v="Study Table"/>
    <n v="45170"/>
    <n v="3"/>
    <s v="15%"/>
    <n v="6546.02"/>
  </r>
  <r>
    <s v="ORD1338"/>
    <s v="02-08-2025"/>
    <s v="Simran Kaur"/>
    <x v="2"/>
    <s v="Karnataka"/>
    <x v="0"/>
    <s v="Pen"/>
    <s v="Gel Pen Set"/>
    <n v="44949"/>
    <n v="2"/>
    <s v="5%"/>
    <n v="8918.7099999999991"/>
  </r>
  <r>
    <s v="ORD1339"/>
    <s v="04-08-2025"/>
    <s v="Priya Verma"/>
    <x v="1"/>
    <s v="Odisha"/>
    <x v="2"/>
    <s v="Laptop"/>
    <s v="HP Pavilion"/>
    <n v="78791"/>
    <n v="8"/>
    <s v="5%"/>
    <n v="16085.13"/>
  </r>
  <r>
    <s v="ORD1340"/>
    <s v="14-07-2025"/>
    <s v="Simran Kaur"/>
    <x v="2"/>
    <s v="Kerala"/>
    <x v="1"/>
    <s v="Chair"/>
    <s v="Office Chair"/>
    <n v="5082"/>
    <n v="2"/>
    <s v="20%"/>
    <n v="1215.1300000000001"/>
  </r>
  <r>
    <s v="ORD1341"/>
    <s v="10-08-2025"/>
    <s v="Rohit Gupta"/>
    <x v="0"/>
    <s v="Punjab"/>
    <x v="0"/>
    <s v="Pen"/>
    <s v="Gel Pen Set"/>
    <n v="12931"/>
    <n v="10"/>
    <s v="15%"/>
    <n v="1056.07"/>
  </r>
  <r>
    <s v="ORD1342"/>
    <s v="15-02-2025"/>
    <s v="Simran Kaur"/>
    <x v="2"/>
    <s v="Tamil Nadu"/>
    <x v="1"/>
    <s v="Chair"/>
    <s v="Office Chair"/>
    <n v="68113"/>
    <n v="10"/>
    <s v="20%"/>
    <n v="12275.15"/>
  </r>
  <r>
    <s v="ORD1343"/>
    <s v="13-01-2025"/>
    <s v="Rohit Gupta"/>
    <x v="2"/>
    <s v="Tamil Nadu"/>
    <x v="0"/>
    <s v="Pen"/>
    <s v="Gel Pen Set"/>
    <n v="22254"/>
    <n v="9"/>
    <s v="5%"/>
    <n v="2569.37"/>
  </r>
  <r>
    <s v="ORD1344"/>
    <s v="21-08-2025"/>
    <s v="Karan Patel"/>
    <x v="3"/>
    <s v="Gujarat"/>
    <x v="0"/>
    <s v="Pen"/>
    <s v="Gel Pen Set"/>
    <n v="29697"/>
    <n v="9"/>
    <s v="20%"/>
    <n v="2156.38"/>
  </r>
  <r>
    <s v="ORD1345"/>
    <s v="24-03-2025"/>
    <s v="Priya Verma"/>
    <x v="1"/>
    <s v="West Bengal"/>
    <x v="2"/>
    <s v="Mobile"/>
    <s v="Samsung Galaxy"/>
    <n v="73329"/>
    <n v="3"/>
    <s v="5%"/>
    <n v="15786.5"/>
  </r>
  <r>
    <s v="ORD1346"/>
    <s v="23-07-2025"/>
    <s v="Neha Singh"/>
    <x v="2"/>
    <s v="Karnataka"/>
    <x v="0"/>
    <s v="Pen"/>
    <s v="Gel Pen Set"/>
    <n v="61233"/>
    <n v="9"/>
    <s v="20%"/>
    <n v="9858.48"/>
  </r>
  <r>
    <s v="ORD1347"/>
    <s v="06-09-2025"/>
    <s v="Karan Patel"/>
    <x v="3"/>
    <s v="Rajasthan"/>
    <x v="2"/>
    <s v="Laptop"/>
    <s v="HP Pavilion"/>
    <n v="60656"/>
    <n v="6"/>
    <s v="20%"/>
    <n v="5379.9"/>
  </r>
  <r>
    <s v="ORD1348"/>
    <s v="06-02-2025"/>
    <s v="Arjun Rana"/>
    <x v="2"/>
    <s v="Karnataka"/>
    <x v="0"/>
    <s v="Binder"/>
    <s v="A4 Binder"/>
    <n v="40156"/>
    <n v="6"/>
    <s v="15%"/>
    <n v="5337.39"/>
  </r>
  <r>
    <s v="ORD1349"/>
    <s v="27-07-2025"/>
    <s v="Rohit Gupta"/>
    <x v="1"/>
    <s v="Bihar"/>
    <x v="2"/>
    <s v="Mobile"/>
    <s v="Samsung Galaxy"/>
    <n v="74936"/>
    <n v="7"/>
    <s v="20%"/>
    <n v="8370.57"/>
  </r>
  <r>
    <s v="ORD1350"/>
    <s v="03-10-2025"/>
    <s v="Amit Kumar"/>
    <x v="2"/>
    <s v="Karnataka"/>
    <x v="0"/>
    <s v="Pen"/>
    <s v="Gel Pen Set"/>
    <n v="71551"/>
    <n v="4"/>
    <s v="10%"/>
    <n v="18077.09"/>
  </r>
  <r>
    <s v="ORD1351"/>
    <s v="21-02-2025"/>
    <s v="Neha Singh"/>
    <x v="2"/>
    <s v="Kerala"/>
    <x v="1"/>
    <s v="Chair"/>
    <s v="Office Chair"/>
    <n v="4558"/>
    <n v="1"/>
    <s v="0%"/>
    <n v="1216.48"/>
  </r>
  <r>
    <s v="ORD1352"/>
    <s v="05-12-2025"/>
    <s v="Neha Singh"/>
    <x v="0"/>
    <s v="Punjab"/>
    <x v="0"/>
    <s v="Binder"/>
    <s v="A4 Binder"/>
    <n v="61021"/>
    <n v="2"/>
    <s v="5%"/>
    <n v="15209.7"/>
  </r>
  <r>
    <s v="ORD1353"/>
    <s v="08-02-2025"/>
    <s v="Arjun Rana"/>
    <x v="1"/>
    <s v="Odisha"/>
    <x v="2"/>
    <s v="Mobile"/>
    <s v="Samsung Galaxy"/>
    <n v="18514"/>
    <n v="1"/>
    <s v="10%"/>
    <n v="2760.5"/>
  </r>
  <r>
    <s v="ORD1354"/>
    <s v="11-08-2025"/>
    <s v="Sneha Joshi"/>
    <x v="3"/>
    <s v="Rajasthan"/>
    <x v="1"/>
    <s v="Table"/>
    <s v="Study Table"/>
    <n v="6584"/>
    <n v="7"/>
    <s v="5%"/>
    <n v="1234.71"/>
  </r>
  <r>
    <s v="ORD1355"/>
    <s v="22-12-2025"/>
    <s v="Simran Kaur"/>
    <x v="0"/>
    <s v="Haryana"/>
    <x v="0"/>
    <s v="Binder"/>
    <s v="A4 Binder"/>
    <n v="22510"/>
    <n v="4"/>
    <s v="10%"/>
    <n v="5512.95"/>
  </r>
  <r>
    <s v="ORD1356"/>
    <s v="19-10-2025"/>
    <s v="Karan Patel"/>
    <x v="3"/>
    <s v="Maharashtra"/>
    <x v="2"/>
    <s v="Laptop"/>
    <s v="HP Pavilion"/>
    <n v="22330"/>
    <n v="2"/>
    <s v="10%"/>
    <n v="1592.56"/>
  </r>
  <r>
    <s v="ORD1357"/>
    <s v="19-07-2025"/>
    <s v="Priya Verma"/>
    <x v="1"/>
    <s v="Bihar"/>
    <x v="1"/>
    <s v="Table"/>
    <s v="Study Table"/>
    <n v="3691"/>
    <n v="4"/>
    <s v="15%"/>
    <n v="789.02"/>
  </r>
  <r>
    <s v="ORD1358"/>
    <s v="08-12-2025"/>
    <s v="Karan Patel"/>
    <x v="2"/>
    <s v="Tamil Nadu"/>
    <x v="2"/>
    <s v="Accessories"/>
    <s v="Wireless Mouse"/>
    <n v="72996"/>
    <n v="5"/>
    <s v="15%"/>
    <n v="18409.669999999998"/>
  </r>
  <r>
    <s v="ORD1359"/>
    <s v="13-10-2025"/>
    <s v="Rohit Gupta"/>
    <x v="1"/>
    <s v="West Bengal"/>
    <x v="1"/>
    <s v="Table"/>
    <s v="Study Table"/>
    <n v="46929"/>
    <n v="7"/>
    <s v="5%"/>
    <n v="8622.49"/>
  </r>
  <r>
    <s v="ORD1360"/>
    <s v="26-12-2025"/>
    <s v="Sneha Joshi"/>
    <x v="3"/>
    <s v="Rajasthan"/>
    <x v="1"/>
    <s v="Table"/>
    <s v="Study Table"/>
    <n v="3321"/>
    <n v="6"/>
    <s v="20%"/>
    <n v="859.61"/>
  </r>
  <r>
    <s v="ORD1361"/>
    <s v="01-05-2025"/>
    <s v="Simran Kaur"/>
    <x v="2"/>
    <s v="Karnataka"/>
    <x v="0"/>
    <s v="Paper"/>
    <s v="A4 Paper Pack"/>
    <n v="55155"/>
    <n v="10"/>
    <s v="0%"/>
    <n v="6594.01"/>
  </r>
  <r>
    <s v="ORD1362"/>
    <s v="25-06-2025"/>
    <s v="Arjun Rana"/>
    <x v="2"/>
    <s v="Tamil Nadu"/>
    <x v="0"/>
    <s v="Binder"/>
    <s v="A4 Binder"/>
    <n v="59660"/>
    <n v="6"/>
    <s v="0%"/>
    <n v="5344.98"/>
  </r>
  <r>
    <s v="ORD1363"/>
    <s v="04-02-2025"/>
    <s v="Amit Kumar"/>
    <x v="0"/>
    <s v="Delhi"/>
    <x v="1"/>
    <s v="Chair"/>
    <s v="Office Chair"/>
    <n v="33372"/>
    <n v="6"/>
    <s v="0%"/>
    <n v="6026.3"/>
  </r>
  <r>
    <s v="ORD1364"/>
    <s v="24-11-2025"/>
    <s v="Amit Kumar"/>
    <x v="3"/>
    <s v="Gujarat"/>
    <x v="0"/>
    <s v="Pen"/>
    <s v="Gel Pen Set"/>
    <n v="39591"/>
    <n v="6"/>
    <s v="15%"/>
    <n v="4320.99"/>
  </r>
  <r>
    <s v="ORD1365"/>
    <s v="09-09-2025"/>
    <s v="Amit Kumar"/>
    <x v="2"/>
    <s v="Karnataka"/>
    <x v="2"/>
    <s v="Accessories"/>
    <s v="Wireless Mouse"/>
    <n v="22399"/>
    <n v="7"/>
    <s v="20%"/>
    <n v="2933.87"/>
  </r>
  <r>
    <s v="ORD1366"/>
    <s v="10-09-2025"/>
    <s v="Sneha Joshi"/>
    <x v="1"/>
    <s v="Odisha"/>
    <x v="2"/>
    <s v="Mobile"/>
    <s v="Samsung Galaxy"/>
    <n v="31557"/>
    <n v="2"/>
    <s v="0%"/>
    <n v="2953.08"/>
  </r>
  <r>
    <s v="ORD1367"/>
    <s v="21-08-2025"/>
    <s v="Simran Kaur"/>
    <x v="0"/>
    <s v="Punjab"/>
    <x v="2"/>
    <s v="Accessories"/>
    <s v="Wireless Mouse"/>
    <n v="79788"/>
    <n v="4"/>
    <s v="5%"/>
    <n v="16188.14"/>
  </r>
  <r>
    <s v="ORD1368"/>
    <s v="12-11-2025"/>
    <s v="Karan Patel"/>
    <x v="1"/>
    <s v="Bihar"/>
    <x v="1"/>
    <s v="Table"/>
    <s v="Study Table"/>
    <n v="66637"/>
    <n v="6"/>
    <s v="10%"/>
    <n v="13999.62"/>
  </r>
  <r>
    <s v="ORD1369"/>
    <s v="20-06-2025"/>
    <s v="Amit Kumar"/>
    <x v="0"/>
    <s v="Delhi"/>
    <x v="0"/>
    <s v="Paper"/>
    <s v="A4 Paper Pack"/>
    <n v="53171"/>
    <n v="3"/>
    <s v="15%"/>
    <n v="7195.83"/>
  </r>
  <r>
    <s v="ORD1370"/>
    <s v="03-01-2025"/>
    <s v="Neha Singh"/>
    <x v="1"/>
    <s v="Odisha"/>
    <x v="0"/>
    <s v="Paper"/>
    <s v="A4 Paper Pack"/>
    <n v="57393"/>
    <n v="5"/>
    <s v="0%"/>
    <n v="12072.71"/>
  </r>
  <r>
    <s v="ORD1371"/>
    <s v="06-08-2025"/>
    <s v="Amit Kumar"/>
    <x v="2"/>
    <s v="Kerala"/>
    <x v="0"/>
    <s v="Paper"/>
    <s v="A4 Paper Pack"/>
    <n v="22204"/>
    <n v="7"/>
    <s v="15%"/>
    <n v="2608.1"/>
  </r>
  <r>
    <s v="ORD1372"/>
    <s v="08-05-2025"/>
    <s v="Arjun Rana"/>
    <x v="1"/>
    <s v="Bihar"/>
    <x v="2"/>
    <s v="Laptop"/>
    <s v="HP Pavilion"/>
    <n v="62026"/>
    <n v="8"/>
    <s v="5%"/>
    <n v="7009.5"/>
  </r>
  <r>
    <s v="ORD1373"/>
    <s v="16-01-2025"/>
    <s v="Sneha Joshi"/>
    <x v="2"/>
    <s v="Kerala"/>
    <x v="0"/>
    <s v="Paper"/>
    <s v="A4 Paper Pack"/>
    <n v="45240"/>
    <n v="5"/>
    <s v="20%"/>
    <n v="10432.67"/>
  </r>
  <r>
    <s v="ORD1374"/>
    <s v="27-10-2025"/>
    <s v="Rahul Sharma"/>
    <x v="1"/>
    <s v="West Bengal"/>
    <x v="2"/>
    <s v="Accessories"/>
    <s v="Wireless Mouse"/>
    <n v="37746"/>
    <n v="6"/>
    <s v="20%"/>
    <n v="5625.54"/>
  </r>
  <r>
    <s v="ORD1375"/>
    <s v="22-05-2025"/>
    <s v="Karan Patel"/>
    <x v="3"/>
    <s v="Maharashtra"/>
    <x v="0"/>
    <s v="Binder"/>
    <s v="A4 Binder"/>
    <n v="28034"/>
    <n v="6"/>
    <s v="20%"/>
    <n v="6024.38"/>
  </r>
  <r>
    <s v="ORD1376"/>
    <s v="23-05-2025"/>
    <s v="Priya Verma"/>
    <x v="1"/>
    <s v="West Bengal"/>
    <x v="2"/>
    <s v="Accessories"/>
    <s v="Wireless Mouse"/>
    <n v="15130"/>
    <n v="4"/>
    <s v="15%"/>
    <n v="1000.5"/>
  </r>
  <r>
    <s v="ORD1377"/>
    <s v="16-11-2025"/>
    <s v="Arjun Rana"/>
    <x v="0"/>
    <s v="Punjab"/>
    <x v="0"/>
    <s v="Binder"/>
    <s v="A4 Binder"/>
    <n v="51543"/>
    <n v="2"/>
    <s v="0%"/>
    <n v="4343.5"/>
  </r>
  <r>
    <s v="ORD1378"/>
    <s v="21-05-2025"/>
    <s v="Amit Kumar"/>
    <x v="1"/>
    <s v="Bihar"/>
    <x v="2"/>
    <s v="Laptop"/>
    <s v="HP Pavilion"/>
    <n v="30558"/>
    <n v="7"/>
    <s v="10%"/>
    <n v="2567.4299999999998"/>
  </r>
  <r>
    <s v="ORD1379"/>
    <s v="07-05-2025"/>
    <s v="Amit Kumar"/>
    <x v="3"/>
    <s v="Gujarat"/>
    <x v="2"/>
    <s v="Accessories"/>
    <s v="Wireless Mouse"/>
    <n v="76297"/>
    <n v="5"/>
    <s v="20%"/>
    <n v="19673.2"/>
  </r>
  <r>
    <s v="ORD1380"/>
    <s v="18-06-2025"/>
    <s v="Sneha Joshi"/>
    <x v="1"/>
    <s v="West Bengal"/>
    <x v="0"/>
    <s v="Pen"/>
    <s v="Gel Pen Set"/>
    <n v="16291"/>
    <n v="9"/>
    <s v="5%"/>
    <n v="3811.35"/>
  </r>
  <r>
    <s v="ORD1381"/>
    <s v="21-03-2025"/>
    <s v="Rohit Gupta"/>
    <x v="3"/>
    <s v="Maharashtra"/>
    <x v="0"/>
    <s v="Paper"/>
    <s v="A4 Paper Pack"/>
    <n v="10603"/>
    <n v="10"/>
    <s v="15%"/>
    <n v="2626.22"/>
  </r>
  <r>
    <s v="ORD1382"/>
    <s v="30-08-2025"/>
    <s v="Neha Singh"/>
    <x v="2"/>
    <s v="Karnataka"/>
    <x v="2"/>
    <s v="Laptop"/>
    <s v="HP Pavilion"/>
    <n v="74583"/>
    <n v="9"/>
    <s v="0%"/>
    <n v="14237.02"/>
  </r>
  <r>
    <s v="ORD1383"/>
    <s v="13-01-2025"/>
    <s v="Rahul Sharma"/>
    <x v="2"/>
    <s v="Tamil Nadu"/>
    <x v="2"/>
    <s v="Mobile"/>
    <s v="Samsung Galaxy"/>
    <n v="28236"/>
    <n v="3"/>
    <s v="5%"/>
    <n v="3285.02"/>
  </r>
  <r>
    <s v="ORD1384"/>
    <s v="13-02-2025"/>
    <s v="Priya Verma"/>
    <x v="2"/>
    <s v="Tamil Nadu"/>
    <x v="2"/>
    <s v="Mobile"/>
    <s v="Samsung Galaxy"/>
    <n v="39824"/>
    <n v="2"/>
    <s v="10%"/>
    <n v="8813.14"/>
  </r>
  <r>
    <s v="ORD1385"/>
    <s v="04-02-2025"/>
    <s v="Rohit Gupta"/>
    <x v="0"/>
    <s v="Haryana"/>
    <x v="2"/>
    <s v="Laptop"/>
    <s v="HP Pavilion"/>
    <n v="72197"/>
    <n v="4"/>
    <s v="10%"/>
    <n v="11830.43"/>
  </r>
  <r>
    <s v="ORD1386"/>
    <s v="16-06-2025"/>
    <s v="Simran Kaur"/>
    <x v="1"/>
    <s v="West Bengal"/>
    <x v="1"/>
    <s v="Chair"/>
    <s v="Office Chair"/>
    <n v="74371"/>
    <n v="2"/>
    <s v="15%"/>
    <n v="16793.84"/>
  </r>
  <r>
    <s v="ORD1387"/>
    <s v="31-12-2025"/>
    <s v="Karan Patel"/>
    <x v="0"/>
    <s v="Delhi"/>
    <x v="1"/>
    <s v="Chair"/>
    <s v="Office Chair"/>
    <n v="64570"/>
    <n v="6"/>
    <s v="10%"/>
    <n v="14706.27"/>
  </r>
  <r>
    <s v="ORD1388"/>
    <s v="18-06-2025"/>
    <s v="Amit Kumar"/>
    <x v="1"/>
    <s v="Bihar"/>
    <x v="0"/>
    <s v="Paper"/>
    <s v="A4 Paper Pack"/>
    <n v="34656"/>
    <n v="6"/>
    <s v="0%"/>
    <n v="5129.6899999999996"/>
  </r>
  <r>
    <s v="ORD1389"/>
    <s v="04-07-2025"/>
    <s v="Karan Patel"/>
    <x v="2"/>
    <s v="Tamil Nadu"/>
    <x v="2"/>
    <s v="Mobile"/>
    <s v="Samsung Galaxy"/>
    <n v="9264"/>
    <n v="8"/>
    <s v="20%"/>
    <n v="1391.63"/>
  </r>
  <r>
    <s v="ORD1390"/>
    <s v="02-08-2025"/>
    <s v="Amit Kumar"/>
    <x v="2"/>
    <s v="Karnataka"/>
    <x v="0"/>
    <s v="Pen"/>
    <s v="Gel Pen Set"/>
    <n v="28327"/>
    <n v="10"/>
    <s v="20%"/>
    <n v="3218.82"/>
  </r>
  <r>
    <s v="ORD1391"/>
    <s v="11-05-2025"/>
    <s v="Anjali Mehta"/>
    <x v="3"/>
    <s v="Gujarat"/>
    <x v="1"/>
    <s v="Chair"/>
    <s v="Office Chair"/>
    <n v="38814"/>
    <n v="5"/>
    <s v="20%"/>
    <n v="4669.1899999999996"/>
  </r>
  <r>
    <s v="ORD1392"/>
    <s v="09-01-2025"/>
    <s v="Amit Kumar"/>
    <x v="3"/>
    <s v="Gujarat"/>
    <x v="2"/>
    <s v="Accessories"/>
    <s v="Wireless Mouse"/>
    <n v="19351"/>
    <n v="3"/>
    <s v="5%"/>
    <n v="3357.56"/>
  </r>
  <r>
    <s v="ORD1393"/>
    <s v="04-07-2025"/>
    <s v="Amit Kumar"/>
    <x v="0"/>
    <s v="Delhi"/>
    <x v="2"/>
    <s v="Accessories"/>
    <s v="Wireless Mouse"/>
    <n v="41814"/>
    <n v="1"/>
    <s v="15%"/>
    <n v="5508.81"/>
  </r>
  <r>
    <s v="ORD1394"/>
    <s v="12-03-2025"/>
    <s v="Rohit Gupta"/>
    <x v="3"/>
    <s v="Maharashtra"/>
    <x v="0"/>
    <s v="Paper"/>
    <s v="A4 Paper Pack"/>
    <n v="59975"/>
    <n v="9"/>
    <s v="20%"/>
    <n v="8841.56"/>
  </r>
  <r>
    <s v="ORD1395"/>
    <s v="28-02-2025"/>
    <s v="Sneha Joshi"/>
    <x v="3"/>
    <s v="Maharashtra"/>
    <x v="1"/>
    <s v="Bookcase"/>
    <s v="Wooden Bookcase"/>
    <n v="49220"/>
    <n v="2"/>
    <s v="20%"/>
    <n v="3206.05"/>
  </r>
  <r>
    <s v="ORD1396"/>
    <s v="20-01-2025"/>
    <s v="Anjali Mehta"/>
    <x v="0"/>
    <s v="Haryana"/>
    <x v="2"/>
    <s v="Accessories"/>
    <s v="Wireless Mouse"/>
    <n v="18745"/>
    <n v="8"/>
    <s v="10%"/>
    <n v="1527.17"/>
  </r>
  <r>
    <s v="ORD1397"/>
    <s v="27-05-2025"/>
    <s v="Priya Verma"/>
    <x v="3"/>
    <s v="Maharashtra"/>
    <x v="1"/>
    <s v="Chair"/>
    <s v="Office Chair"/>
    <n v="65434"/>
    <n v="2"/>
    <s v="5%"/>
    <n v="7515.27"/>
  </r>
  <r>
    <s v="ORD1398"/>
    <s v="29-06-2025"/>
    <s v="Rohit Gupta"/>
    <x v="3"/>
    <s v="Gujarat"/>
    <x v="1"/>
    <s v="Chair"/>
    <s v="Office Chair"/>
    <n v="13344"/>
    <n v="2"/>
    <s v="5%"/>
    <n v="2367.91"/>
  </r>
  <r>
    <s v="ORD1399"/>
    <s v="04-01-2025"/>
    <s v="Simran Kaur"/>
    <x v="0"/>
    <s v="Delhi"/>
    <x v="1"/>
    <s v="Bookcase"/>
    <s v="Wooden Bookcase"/>
    <n v="69351"/>
    <n v="8"/>
    <s v="0%"/>
    <n v="13525.58"/>
  </r>
  <r>
    <s v="ORD1400"/>
    <s v="23-11-2025"/>
    <s v="Priya Verma"/>
    <x v="0"/>
    <s v="Haryana"/>
    <x v="0"/>
    <s v="Pen"/>
    <s v="Gel Pen Set"/>
    <n v="11521"/>
    <n v="8"/>
    <s v="5%"/>
    <n v="2389.7199999999998"/>
  </r>
  <r>
    <s v="ORD1401"/>
    <s v="03-02-2025"/>
    <s v="Arjun Rana"/>
    <x v="1"/>
    <s v="Odisha"/>
    <x v="0"/>
    <s v="Pen"/>
    <s v="Gel Pen Set"/>
    <n v="40002"/>
    <n v="8"/>
    <s v="5%"/>
    <n v="6832.02"/>
  </r>
  <r>
    <s v="ORD1402"/>
    <s v="29-05-2025"/>
    <s v="Neha Singh"/>
    <x v="2"/>
    <s v="Kerala"/>
    <x v="1"/>
    <s v="Chair"/>
    <s v="Office Chair"/>
    <n v="59462"/>
    <n v="10"/>
    <s v="10%"/>
    <n v="12014.26"/>
  </r>
  <r>
    <s v="ORD1403"/>
    <s v="04-05-2025"/>
    <s v="Simran Kaur"/>
    <x v="3"/>
    <s v="Rajasthan"/>
    <x v="0"/>
    <s v="Paper"/>
    <s v="A4 Paper Pack"/>
    <n v="42773"/>
    <n v="8"/>
    <s v="5%"/>
    <n v="5016.18"/>
  </r>
  <r>
    <s v="ORD1404"/>
    <s v="14-05-2025"/>
    <s v="Karan Patel"/>
    <x v="2"/>
    <s v="Kerala"/>
    <x v="0"/>
    <s v="Paper"/>
    <s v="A4 Paper Pack"/>
    <n v="48775"/>
    <n v="7"/>
    <s v="0%"/>
    <n v="4514.28"/>
  </r>
  <r>
    <s v="ORD1405"/>
    <s v="17-06-2025"/>
    <s v="Anjali Mehta"/>
    <x v="2"/>
    <s v="Kerala"/>
    <x v="0"/>
    <s v="Pen"/>
    <s v="Gel Pen Set"/>
    <n v="892"/>
    <n v="9"/>
    <s v="10%"/>
    <n v="234.48"/>
  </r>
  <r>
    <s v="ORD1406"/>
    <s v="01-07-2025"/>
    <s v="Neha Singh"/>
    <x v="0"/>
    <s v="Punjab"/>
    <x v="0"/>
    <s v="Binder"/>
    <s v="A4 Binder"/>
    <n v="76060"/>
    <n v="8"/>
    <s v="20%"/>
    <n v="10760.94"/>
  </r>
  <r>
    <s v="ORD1407"/>
    <s v="25-01-2025"/>
    <s v="Anjali Mehta"/>
    <x v="0"/>
    <s v="Punjab"/>
    <x v="1"/>
    <s v="Chair"/>
    <s v="Office Chair"/>
    <n v="44375"/>
    <n v="9"/>
    <s v="5%"/>
    <n v="5683.2"/>
  </r>
  <r>
    <s v="ORD1408"/>
    <s v="18-02-2025"/>
    <s v="Priya Verma"/>
    <x v="3"/>
    <s v="Gujarat"/>
    <x v="1"/>
    <s v="Bookcase"/>
    <s v="Wooden Bookcase"/>
    <n v="50835"/>
    <n v="2"/>
    <s v="15%"/>
    <n v="11791.21"/>
  </r>
  <r>
    <s v="ORD1409"/>
    <s v="29-08-2025"/>
    <s v="Amit Kumar"/>
    <x v="3"/>
    <s v="Maharashtra"/>
    <x v="0"/>
    <s v="Pen"/>
    <s v="Gel Pen Set"/>
    <n v="78622"/>
    <n v="5"/>
    <s v="15%"/>
    <n v="7478.23"/>
  </r>
  <r>
    <s v="ORD1410"/>
    <s v="31-12-2025"/>
    <s v="Neha Singh"/>
    <x v="0"/>
    <s v="Delhi"/>
    <x v="1"/>
    <s v="Chair"/>
    <s v="Office Chair"/>
    <n v="73736"/>
    <n v="2"/>
    <s v="5%"/>
    <n v="13536.58"/>
  </r>
  <r>
    <s v="ORD1411"/>
    <s v="15-12-2025"/>
    <s v="Amit Kumar"/>
    <x v="1"/>
    <s v="Bihar"/>
    <x v="2"/>
    <s v="Mobile"/>
    <s v="Samsung Galaxy"/>
    <n v="16800"/>
    <n v="6"/>
    <s v="5%"/>
    <n v="4564.6099999999997"/>
  </r>
  <r>
    <s v="ORD1412"/>
    <s v="08-08-2025"/>
    <s v="Neha Singh"/>
    <x v="0"/>
    <s v="Punjab"/>
    <x v="0"/>
    <s v="Paper"/>
    <s v="A4 Paper Pack"/>
    <n v="32644"/>
    <n v="1"/>
    <s v="5%"/>
    <n v="3823.58"/>
  </r>
  <r>
    <s v="ORD1413"/>
    <s v="02-04-2025"/>
    <s v="Arjun Rana"/>
    <x v="0"/>
    <s v="Delhi"/>
    <x v="0"/>
    <s v="Binder"/>
    <s v="A4 Binder"/>
    <n v="36829"/>
    <n v="1"/>
    <s v="15%"/>
    <n v="2760.13"/>
  </r>
  <r>
    <s v="ORD1414"/>
    <s v="09-03-2025"/>
    <s v="Sneha Joshi"/>
    <x v="1"/>
    <s v="Odisha"/>
    <x v="2"/>
    <s v="Laptop"/>
    <s v="HP Pavilion"/>
    <n v="46248"/>
    <n v="9"/>
    <s v="10%"/>
    <n v="4128.1000000000004"/>
  </r>
  <r>
    <s v="ORD1415"/>
    <s v="08-07-2025"/>
    <s v="Simran Kaur"/>
    <x v="2"/>
    <s v="Karnataka"/>
    <x v="2"/>
    <s v="Accessories"/>
    <s v="Wireless Mouse"/>
    <n v="40942"/>
    <n v="9"/>
    <s v="0%"/>
    <n v="10382.57"/>
  </r>
  <r>
    <s v="ORD1416"/>
    <s v="16-05-2025"/>
    <s v="Rahul Sharma"/>
    <x v="0"/>
    <s v="Haryana"/>
    <x v="1"/>
    <s v="Bookcase"/>
    <s v="Wooden Bookcase"/>
    <n v="46088"/>
    <n v="6"/>
    <s v="5%"/>
    <n v="11570.7"/>
  </r>
  <r>
    <s v="ORD1417"/>
    <s v="26-10-2025"/>
    <s v="Arjun Rana"/>
    <x v="3"/>
    <s v="Maharashtra"/>
    <x v="2"/>
    <s v="Laptop"/>
    <s v="HP Pavilion"/>
    <n v="68759"/>
    <n v="3"/>
    <s v="20%"/>
    <n v="6667.65"/>
  </r>
  <r>
    <s v="ORD1418"/>
    <s v="27-09-2025"/>
    <s v="Rohit Gupta"/>
    <x v="1"/>
    <s v="Odisha"/>
    <x v="0"/>
    <s v="Binder"/>
    <s v="A4 Binder"/>
    <n v="30527"/>
    <n v="4"/>
    <s v="20%"/>
    <n v="3744.22"/>
  </r>
  <r>
    <s v="ORD1419"/>
    <s v="31-10-2025"/>
    <s v="Priya Verma"/>
    <x v="2"/>
    <s v="Karnataka"/>
    <x v="1"/>
    <s v="Table"/>
    <s v="Study Table"/>
    <n v="47576"/>
    <n v="8"/>
    <s v="0%"/>
    <n v="5323.47"/>
  </r>
  <r>
    <s v="ORD1420"/>
    <s v="18-11-2025"/>
    <s v="Karan Patel"/>
    <x v="0"/>
    <s v="Delhi"/>
    <x v="0"/>
    <s v="Paper"/>
    <s v="A4 Paper Pack"/>
    <n v="42512"/>
    <n v="4"/>
    <s v="10%"/>
    <n v="11273.16"/>
  </r>
  <r>
    <s v="ORD1421"/>
    <s v="20-11-2025"/>
    <s v="Neha Singh"/>
    <x v="3"/>
    <s v="Gujarat"/>
    <x v="0"/>
    <s v="Pen"/>
    <s v="Gel Pen Set"/>
    <n v="41535"/>
    <n v="1"/>
    <s v="10%"/>
    <n v="8774.33"/>
  </r>
  <r>
    <s v="ORD1422"/>
    <s v="19-08-2025"/>
    <s v="Arjun Rana"/>
    <x v="0"/>
    <s v="Punjab"/>
    <x v="1"/>
    <s v="Table"/>
    <s v="Study Table"/>
    <n v="1239"/>
    <n v="5"/>
    <s v="0%"/>
    <n v="281.93"/>
  </r>
  <r>
    <s v="ORD1423"/>
    <s v="08-05-2025"/>
    <s v="Sneha Joshi"/>
    <x v="3"/>
    <s v="Rajasthan"/>
    <x v="1"/>
    <s v="Chair"/>
    <s v="Office Chair"/>
    <n v="56611"/>
    <n v="4"/>
    <s v="5%"/>
    <n v="7497.82"/>
  </r>
  <r>
    <s v="ORD1424"/>
    <s v="26-03-2025"/>
    <s v="Anjali Mehta"/>
    <x v="0"/>
    <s v="Haryana"/>
    <x v="2"/>
    <s v="Laptop"/>
    <s v="HP Pavilion"/>
    <n v="55743"/>
    <n v="9"/>
    <s v="20%"/>
    <n v="14097.73"/>
  </r>
  <r>
    <s v="ORD1425"/>
    <s v="06-06-2025"/>
    <s v="Sneha Joshi"/>
    <x v="0"/>
    <s v="Haryana"/>
    <x v="2"/>
    <s v="Mobile"/>
    <s v="Samsung Galaxy"/>
    <n v="31794"/>
    <n v="2"/>
    <s v="5%"/>
    <n v="4389.74"/>
  </r>
  <r>
    <s v="ORD1426"/>
    <s v="14-11-2025"/>
    <s v="Anjali Mehta"/>
    <x v="1"/>
    <s v="Odisha"/>
    <x v="1"/>
    <s v="Bookcase"/>
    <s v="Wooden Bookcase"/>
    <n v="42133"/>
    <n v="6"/>
    <s v="15%"/>
    <n v="4088.61"/>
  </r>
  <r>
    <s v="ORD1427"/>
    <s v="07-08-2025"/>
    <s v="Karan Patel"/>
    <x v="3"/>
    <s v="Gujarat"/>
    <x v="1"/>
    <s v="Bookcase"/>
    <s v="Wooden Bookcase"/>
    <n v="54125"/>
    <n v="1"/>
    <s v="5%"/>
    <n v="5802.29"/>
  </r>
  <r>
    <s v="ORD1428"/>
    <s v="06-10-2025"/>
    <s v="Anjali Mehta"/>
    <x v="0"/>
    <s v="Punjab"/>
    <x v="1"/>
    <s v="Chair"/>
    <s v="Office Chair"/>
    <n v="52818"/>
    <n v="7"/>
    <s v="15%"/>
    <n v="11113.71"/>
  </r>
  <r>
    <s v="ORD1429"/>
    <s v="18-06-2025"/>
    <s v="Arjun Rana"/>
    <x v="0"/>
    <s v="Delhi"/>
    <x v="1"/>
    <s v="Table"/>
    <s v="Study Table"/>
    <n v="21936"/>
    <n v="1"/>
    <s v="20%"/>
    <n v="4939.28"/>
  </r>
  <r>
    <s v="ORD1430"/>
    <s v="09-07-2025"/>
    <s v="Priya Verma"/>
    <x v="0"/>
    <s v="Haryana"/>
    <x v="0"/>
    <s v="Paper"/>
    <s v="A4 Paper Pack"/>
    <n v="62799"/>
    <n v="9"/>
    <s v="10%"/>
    <n v="7843.46"/>
  </r>
  <r>
    <s v="ORD1431"/>
    <s v="09-12-2025"/>
    <s v="Simran Kaur"/>
    <x v="0"/>
    <s v="Haryana"/>
    <x v="0"/>
    <s v="Binder"/>
    <s v="A4 Binder"/>
    <n v="34528"/>
    <n v="3"/>
    <s v="0%"/>
    <n v="6347.72"/>
  </r>
  <r>
    <s v="ORD1432"/>
    <s v="30-12-2025"/>
    <s v="Arjun Rana"/>
    <x v="3"/>
    <s v="Maharashtra"/>
    <x v="2"/>
    <s v="Accessories"/>
    <s v="Wireless Mouse"/>
    <n v="11055"/>
    <n v="6"/>
    <s v="15%"/>
    <n v="1935.15"/>
  </r>
  <r>
    <s v="ORD1433"/>
    <s v="12-09-2025"/>
    <s v="Amit Kumar"/>
    <x v="0"/>
    <s v="Haryana"/>
    <x v="2"/>
    <s v="Laptop"/>
    <s v="HP Pavilion"/>
    <n v="2413"/>
    <n v="7"/>
    <s v="15%"/>
    <n v="250.2"/>
  </r>
  <r>
    <s v="ORD1434"/>
    <s v="23-08-2025"/>
    <s v="Arjun Rana"/>
    <x v="0"/>
    <s v="Haryana"/>
    <x v="2"/>
    <s v="Mobile"/>
    <s v="Samsung Galaxy"/>
    <n v="19160"/>
    <n v="8"/>
    <s v="20%"/>
    <n v="3881.1"/>
  </r>
  <r>
    <s v="ORD1435"/>
    <s v="06-09-2025"/>
    <s v="Sneha Joshi"/>
    <x v="0"/>
    <s v="Haryana"/>
    <x v="0"/>
    <s v="Paper"/>
    <s v="A4 Paper Pack"/>
    <n v="32184"/>
    <n v="8"/>
    <s v="20%"/>
    <n v="3481.19"/>
  </r>
  <r>
    <s v="ORD1436"/>
    <s v="27-01-2025"/>
    <s v="Karan Patel"/>
    <x v="2"/>
    <s v="Karnataka"/>
    <x v="1"/>
    <s v="Table"/>
    <s v="Study Table"/>
    <n v="40026"/>
    <n v="7"/>
    <s v="5%"/>
    <n v="6188.07"/>
  </r>
  <r>
    <s v="ORD1437"/>
    <s v="21-06-2025"/>
    <s v="Amit Kumar"/>
    <x v="3"/>
    <s v="Gujarat"/>
    <x v="1"/>
    <s v="Chair"/>
    <s v="Office Chair"/>
    <n v="76316"/>
    <n v="8"/>
    <s v="20%"/>
    <n v="7714"/>
  </r>
  <r>
    <s v="ORD1438"/>
    <s v="15-09-2025"/>
    <s v="Rohit Gupta"/>
    <x v="2"/>
    <s v="Karnataka"/>
    <x v="1"/>
    <s v="Table"/>
    <s v="Study Table"/>
    <n v="72784"/>
    <n v="10"/>
    <s v="15%"/>
    <n v="15965.03"/>
  </r>
  <r>
    <s v="ORD1439"/>
    <s v="22-08-2025"/>
    <s v="Amit Kumar"/>
    <x v="1"/>
    <s v="Odisha"/>
    <x v="1"/>
    <s v="Table"/>
    <s v="Study Table"/>
    <n v="53689"/>
    <n v="3"/>
    <s v="10%"/>
    <n v="12622.57"/>
  </r>
  <r>
    <s v="ORD1440"/>
    <s v="02-08-2025"/>
    <s v="Sneha Joshi"/>
    <x v="3"/>
    <s v="Maharashtra"/>
    <x v="1"/>
    <s v="Table"/>
    <s v="Study Table"/>
    <n v="60374"/>
    <n v="6"/>
    <s v="15%"/>
    <n v="14266.41"/>
  </r>
  <r>
    <s v="ORD1441"/>
    <s v="02-12-2025"/>
    <s v="Amit Kumar"/>
    <x v="3"/>
    <s v="Rajasthan"/>
    <x v="1"/>
    <s v="Table"/>
    <s v="Study Table"/>
    <n v="35570"/>
    <n v="8"/>
    <s v="20%"/>
    <n v="4279.0200000000004"/>
  </r>
  <r>
    <s v="ORD1442"/>
    <s v="01-04-2025"/>
    <s v="Priya Verma"/>
    <x v="2"/>
    <s v="Karnataka"/>
    <x v="0"/>
    <s v="Binder"/>
    <s v="A4 Binder"/>
    <n v="10704"/>
    <n v="1"/>
    <s v="20%"/>
    <n v="1316.11"/>
  </r>
  <r>
    <s v="ORD1443"/>
    <s v="25-09-2025"/>
    <s v="Arjun Rana"/>
    <x v="2"/>
    <s v="Karnataka"/>
    <x v="2"/>
    <s v="Accessories"/>
    <s v="Wireless Mouse"/>
    <n v="24385"/>
    <n v="9"/>
    <s v="0%"/>
    <n v="4777.79"/>
  </r>
  <r>
    <s v="ORD1444"/>
    <s v="29-08-2025"/>
    <s v="Karan Patel"/>
    <x v="0"/>
    <s v="Delhi"/>
    <x v="2"/>
    <s v="Accessories"/>
    <s v="Wireless Mouse"/>
    <n v="13835"/>
    <n v="8"/>
    <s v="10%"/>
    <n v="2470.62"/>
  </r>
  <r>
    <s v="ORD1445"/>
    <s v="13-10-2025"/>
    <s v="Arjun Rana"/>
    <x v="2"/>
    <s v="Kerala"/>
    <x v="1"/>
    <s v="Bookcase"/>
    <s v="Wooden Bookcase"/>
    <n v="30738"/>
    <n v="4"/>
    <s v="5%"/>
    <n v="7440.59"/>
  </r>
  <r>
    <s v="ORD1446"/>
    <s v="22-09-2025"/>
    <s v="Simran Kaur"/>
    <x v="1"/>
    <s v="Odisha"/>
    <x v="0"/>
    <s v="Paper"/>
    <s v="A4 Paper Pack"/>
    <n v="39957"/>
    <n v="6"/>
    <s v="20%"/>
    <n v="3254.11"/>
  </r>
  <r>
    <s v="ORD1447"/>
    <s v="17-05-2025"/>
    <s v="Sneha Joshi"/>
    <x v="0"/>
    <s v="Punjab"/>
    <x v="0"/>
    <s v="Pen"/>
    <s v="Gel Pen Set"/>
    <n v="27361"/>
    <n v="4"/>
    <s v="0%"/>
    <n v="2821.62"/>
  </r>
  <r>
    <s v="ORD1448"/>
    <s v="02-11-2025"/>
    <s v="Arjun Rana"/>
    <x v="2"/>
    <s v="Tamil Nadu"/>
    <x v="0"/>
    <s v="Binder"/>
    <s v="A4 Binder"/>
    <n v="54498"/>
    <n v="1"/>
    <s v="15%"/>
    <n v="5212.68"/>
  </r>
  <r>
    <s v="ORD1449"/>
    <s v="30-01-2025"/>
    <s v="Amit Kumar"/>
    <x v="1"/>
    <s v="West Bengal"/>
    <x v="1"/>
    <s v="Chair"/>
    <s v="Office Chair"/>
    <n v="26442"/>
    <n v="3"/>
    <s v="20%"/>
    <n v="5997.64"/>
  </r>
  <r>
    <s v="ORD1450"/>
    <s v="21-04-2025"/>
    <s v="Priya Verma"/>
    <x v="2"/>
    <s v="Karnataka"/>
    <x v="0"/>
    <s v="Binder"/>
    <s v="A4 Binder"/>
    <n v="3406"/>
    <n v="5"/>
    <s v="0%"/>
    <n v="932.98"/>
  </r>
  <r>
    <s v="ORD1451"/>
    <s v="06-02-2025"/>
    <s v="Rahul Sharma"/>
    <x v="3"/>
    <s v="Maharashtra"/>
    <x v="1"/>
    <s v="Table"/>
    <s v="Study Table"/>
    <n v="8323"/>
    <n v="8"/>
    <s v="0%"/>
    <n v="2243.86"/>
  </r>
  <r>
    <s v="ORD1452"/>
    <s v="07-03-2025"/>
    <s v="Arjun Rana"/>
    <x v="1"/>
    <s v="Bihar"/>
    <x v="2"/>
    <s v="Accessories"/>
    <s v="Wireless Mouse"/>
    <n v="73888"/>
    <n v="2"/>
    <s v="0%"/>
    <n v="11969.79"/>
  </r>
  <r>
    <s v="ORD1453"/>
    <s v="04-07-2025"/>
    <s v="Amit Kumar"/>
    <x v="3"/>
    <s v="Gujarat"/>
    <x v="1"/>
    <s v="Chair"/>
    <s v="Office Chair"/>
    <n v="75407"/>
    <n v="3"/>
    <s v="15%"/>
    <n v="17012.28"/>
  </r>
  <r>
    <s v="ORD1454"/>
    <s v="16-05-2025"/>
    <s v="Amit Kumar"/>
    <x v="3"/>
    <s v="Gujarat"/>
    <x v="2"/>
    <s v="Laptop"/>
    <s v="HP Pavilion"/>
    <n v="44751"/>
    <n v="7"/>
    <s v="10%"/>
    <n v="3680.34"/>
  </r>
  <r>
    <s v="ORD1455"/>
    <s v="20-01-2025"/>
    <s v="Amit Kumar"/>
    <x v="3"/>
    <s v="Rajasthan"/>
    <x v="2"/>
    <s v="Accessories"/>
    <s v="Wireless Mouse"/>
    <n v="55870"/>
    <n v="1"/>
    <s v="15%"/>
    <n v="10394.91"/>
  </r>
  <r>
    <s v="ORD1456"/>
    <s v="06-03-2025"/>
    <s v="Simran Kaur"/>
    <x v="1"/>
    <s v="Bihar"/>
    <x v="0"/>
    <s v="Binder"/>
    <s v="A4 Binder"/>
    <n v="2948"/>
    <n v="6"/>
    <s v="0%"/>
    <n v="517.42999999999995"/>
  </r>
  <r>
    <s v="ORD1457"/>
    <s v="16-06-2025"/>
    <s v="Arjun Rana"/>
    <x v="1"/>
    <s v="Odisha"/>
    <x v="0"/>
    <s v="Binder"/>
    <s v="A4 Binder"/>
    <n v="29785"/>
    <n v="8"/>
    <s v="5%"/>
    <n v="7691.15"/>
  </r>
  <r>
    <s v="ORD1458"/>
    <s v="11-08-2025"/>
    <s v="Arjun Rana"/>
    <x v="2"/>
    <s v="Karnataka"/>
    <x v="2"/>
    <s v="Laptop"/>
    <s v="HP Pavilion"/>
    <n v="35798"/>
    <n v="1"/>
    <s v="0%"/>
    <n v="6732.47"/>
  </r>
  <r>
    <s v="ORD1459"/>
    <s v="15-02-2025"/>
    <s v="Arjun Rana"/>
    <x v="1"/>
    <s v="Odisha"/>
    <x v="1"/>
    <s v="Chair"/>
    <s v="Office Chair"/>
    <n v="55992"/>
    <n v="10"/>
    <s v="0%"/>
    <n v="15123.16"/>
  </r>
  <r>
    <s v="ORD1460"/>
    <s v="16-05-2025"/>
    <s v="Rohit Gupta"/>
    <x v="2"/>
    <s v="Kerala"/>
    <x v="1"/>
    <s v="Table"/>
    <s v="Study Table"/>
    <n v="22741"/>
    <n v="8"/>
    <s v="0%"/>
    <n v="4116.13"/>
  </r>
  <r>
    <s v="ORD1461"/>
    <s v="17-01-2025"/>
    <s v="Simran Kaur"/>
    <x v="1"/>
    <s v="West Bengal"/>
    <x v="2"/>
    <s v="Laptop"/>
    <s v="HP Pavilion"/>
    <n v="22963"/>
    <n v="10"/>
    <s v="10%"/>
    <n v="4538.29"/>
  </r>
  <r>
    <s v="ORD1462"/>
    <s v="11-07-2025"/>
    <s v="Neha Singh"/>
    <x v="0"/>
    <s v="Punjab"/>
    <x v="1"/>
    <s v="Table"/>
    <s v="Study Table"/>
    <n v="57948"/>
    <n v="6"/>
    <s v="20%"/>
    <n v="5623.33"/>
  </r>
  <r>
    <s v="ORD1463"/>
    <s v="14-04-2025"/>
    <s v="Anjali Mehta"/>
    <x v="0"/>
    <s v="Delhi"/>
    <x v="1"/>
    <s v="Chair"/>
    <s v="Office Chair"/>
    <n v="64148"/>
    <n v="5"/>
    <s v="20%"/>
    <n v="11424.44"/>
  </r>
  <r>
    <s v="ORD1464"/>
    <s v="18-11-2025"/>
    <s v="Rohit Gupta"/>
    <x v="2"/>
    <s v="Tamil Nadu"/>
    <x v="1"/>
    <s v="Table"/>
    <s v="Study Table"/>
    <n v="38637"/>
    <n v="4"/>
    <s v="0%"/>
    <n v="4626.6899999999996"/>
  </r>
  <r>
    <s v="ORD1465"/>
    <s v="28-01-2025"/>
    <s v="Karan Patel"/>
    <x v="0"/>
    <s v="Delhi"/>
    <x v="0"/>
    <s v="Paper"/>
    <s v="A4 Paper Pack"/>
    <n v="1693"/>
    <n v="1"/>
    <s v="20%"/>
    <n v="137.66"/>
  </r>
  <r>
    <s v="ORD1466"/>
    <s v="24-08-2025"/>
    <s v="Karan Patel"/>
    <x v="0"/>
    <s v="Punjab"/>
    <x v="2"/>
    <s v="Mobile"/>
    <s v="Samsung Galaxy"/>
    <n v="43436"/>
    <n v="2"/>
    <s v="15%"/>
    <n v="4503.67"/>
  </r>
  <r>
    <s v="ORD1467"/>
    <s v="20-04-2025"/>
    <s v="Karan Patel"/>
    <x v="3"/>
    <s v="Maharashtra"/>
    <x v="1"/>
    <s v="Table"/>
    <s v="Study Table"/>
    <n v="46784"/>
    <n v="10"/>
    <s v="10%"/>
    <n v="4813.49"/>
  </r>
  <r>
    <s v="ORD1468"/>
    <s v="05-12-2025"/>
    <s v="Priya Verma"/>
    <x v="0"/>
    <s v="Punjab"/>
    <x v="1"/>
    <s v="Table"/>
    <s v="Study Table"/>
    <n v="45621"/>
    <n v="9"/>
    <s v="15%"/>
    <n v="3189.76"/>
  </r>
  <r>
    <s v="ORD1469"/>
    <s v="17-03-2025"/>
    <s v="Simran Kaur"/>
    <x v="0"/>
    <s v="Haryana"/>
    <x v="2"/>
    <s v="Accessories"/>
    <s v="Wireless Mouse"/>
    <n v="20838"/>
    <n v="8"/>
    <s v="10%"/>
    <n v="3822.14"/>
  </r>
  <r>
    <s v="ORD1470"/>
    <s v="19-06-2025"/>
    <s v="Rohit Gupta"/>
    <x v="3"/>
    <s v="Gujarat"/>
    <x v="0"/>
    <s v="Binder"/>
    <s v="A4 Binder"/>
    <n v="42147"/>
    <n v="6"/>
    <s v="0%"/>
    <n v="9509.75"/>
  </r>
  <r>
    <s v="ORD1471"/>
    <s v="28-11-2025"/>
    <s v="Rahul Sharma"/>
    <x v="1"/>
    <s v="Odisha"/>
    <x v="2"/>
    <s v="Accessories"/>
    <s v="Wireless Mouse"/>
    <n v="12519"/>
    <n v="4"/>
    <s v="10%"/>
    <n v="3123.92"/>
  </r>
  <r>
    <s v="ORD1472"/>
    <s v="11-02-2025"/>
    <s v="Arjun Rana"/>
    <x v="2"/>
    <s v="Kerala"/>
    <x v="1"/>
    <s v="Chair"/>
    <s v="Office Chair"/>
    <n v="29946"/>
    <n v="8"/>
    <s v="5%"/>
    <n v="4740.74"/>
  </r>
  <r>
    <s v="ORD1473"/>
    <s v="17-11-2025"/>
    <s v="Rohit Gupta"/>
    <x v="3"/>
    <s v="Gujarat"/>
    <x v="2"/>
    <s v="Mobile"/>
    <s v="Samsung Galaxy"/>
    <n v="7492"/>
    <n v="4"/>
    <s v="15%"/>
    <n v="1951.08"/>
  </r>
  <r>
    <s v="ORD1474"/>
    <s v="24-01-2025"/>
    <s v="Arjun Rana"/>
    <x v="0"/>
    <s v="Punjab"/>
    <x v="0"/>
    <s v="Pen"/>
    <s v="Gel Pen Set"/>
    <n v="70322"/>
    <n v="7"/>
    <s v="15%"/>
    <n v="7760.78"/>
  </r>
  <r>
    <s v="ORD1475"/>
    <s v="12-10-2025"/>
    <s v="Karan Patel"/>
    <x v="3"/>
    <s v="Gujarat"/>
    <x v="1"/>
    <s v="Bookcase"/>
    <s v="Wooden Bookcase"/>
    <n v="53520"/>
    <n v="10"/>
    <s v="10%"/>
    <n v="10308.89"/>
  </r>
  <r>
    <s v="ORD1476"/>
    <s v="19-11-2025"/>
    <s v="Simran Kaur"/>
    <x v="2"/>
    <s v="Karnataka"/>
    <x v="0"/>
    <s v="Paper"/>
    <s v="A4 Paper Pack"/>
    <n v="16318"/>
    <n v="6"/>
    <s v="15%"/>
    <n v="1319.44"/>
  </r>
  <r>
    <s v="ORD1477"/>
    <s v="17-08-2025"/>
    <s v="Rohit Gupta"/>
    <x v="3"/>
    <s v="Rajasthan"/>
    <x v="1"/>
    <s v="Chair"/>
    <s v="Office Chair"/>
    <n v="71982"/>
    <n v="9"/>
    <s v="10%"/>
    <n v="12324.02"/>
  </r>
  <r>
    <s v="ORD1478"/>
    <s v="14-09-2025"/>
    <s v="Neha Singh"/>
    <x v="3"/>
    <s v="Maharashtra"/>
    <x v="2"/>
    <s v="Mobile"/>
    <s v="Samsung Galaxy"/>
    <n v="39301"/>
    <n v="4"/>
    <s v="5%"/>
    <n v="10787.49"/>
  </r>
  <r>
    <s v="ORD1479"/>
    <s v="16-08-2025"/>
    <s v="Karan Patel"/>
    <x v="3"/>
    <s v="Rajasthan"/>
    <x v="0"/>
    <s v="Paper"/>
    <s v="A4 Paper Pack"/>
    <n v="8061"/>
    <n v="3"/>
    <s v="0%"/>
    <n v="1896.22"/>
  </r>
  <r>
    <s v="ORD1480"/>
    <s v="28-04-2025"/>
    <s v="Rahul Sharma"/>
    <x v="0"/>
    <s v="Punjab"/>
    <x v="0"/>
    <s v="Binder"/>
    <s v="A4 Binder"/>
    <n v="30593"/>
    <n v="2"/>
    <s v="5%"/>
    <n v="3070.74"/>
  </r>
  <r>
    <s v="ORD1481"/>
    <s v="04-01-2025"/>
    <s v="Rahul Sharma"/>
    <x v="1"/>
    <s v="West Bengal"/>
    <x v="2"/>
    <s v="Accessories"/>
    <s v="Wireless Mouse"/>
    <n v="47524"/>
    <n v="9"/>
    <s v="10%"/>
    <n v="11829.89"/>
  </r>
  <r>
    <s v="ORD1482"/>
    <s v="14-05-2025"/>
    <s v="Rohit Gupta"/>
    <x v="3"/>
    <s v="Maharashtra"/>
    <x v="2"/>
    <s v="Accessories"/>
    <s v="Wireless Mouse"/>
    <n v="36055"/>
    <n v="4"/>
    <s v="10%"/>
    <n v="7295.79"/>
  </r>
  <r>
    <s v="ORD1483"/>
    <s v="10-04-2025"/>
    <s v="Priya Verma"/>
    <x v="1"/>
    <s v="Odisha"/>
    <x v="1"/>
    <s v="Bookcase"/>
    <s v="Wooden Bookcase"/>
    <n v="69401"/>
    <n v="6"/>
    <s v="5%"/>
    <n v="13595.2"/>
  </r>
  <r>
    <s v="ORD1484"/>
    <s v="29-08-2025"/>
    <s v="Simran Kaur"/>
    <x v="1"/>
    <s v="Odisha"/>
    <x v="0"/>
    <s v="Pen"/>
    <s v="Gel Pen Set"/>
    <n v="21083"/>
    <n v="1"/>
    <s v="10%"/>
    <n v="3325.05"/>
  </r>
  <r>
    <s v="ORD1485"/>
    <s v="11-12-2025"/>
    <s v="Simran Kaur"/>
    <x v="2"/>
    <s v="Kerala"/>
    <x v="1"/>
    <s v="Chair"/>
    <s v="Office Chair"/>
    <n v="78737"/>
    <n v="7"/>
    <s v="5%"/>
    <n v="15840.79"/>
  </r>
  <r>
    <s v="ORD1486"/>
    <s v="04-12-2025"/>
    <s v="Rahul Sharma"/>
    <x v="1"/>
    <s v="West Bengal"/>
    <x v="2"/>
    <s v="Accessories"/>
    <s v="Wireless Mouse"/>
    <n v="61094"/>
    <n v="3"/>
    <s v="5%"/>
    <n v="13711.62"/>
  </r>
  <r>
    <s v="ORD1487"/>
    <s v="12-11-2025"/>
    <s v="Anjali Mehta"/>
    <x v="0"/>
    <s v="Punjab"/>
    <x v="2"/>
    <s v="Accessories"/>
    <s v="Wireless Mouse"/>
    <n v="75311"/>
    <n v="4"/>
    <s v="15%"/>
    <n v="5596.17"/>
  </r>
  <r>
    <s v="ORD1488"/>
    <s v="19-02-2025"/>
    <s v="Karan Patel"/>
    <x v="0"/>
    <s v="Delhi"/>
    <x v="2"/>
    <s v="Mobile"/>
    <s v="Samsung Galaxy"/>
    <n v="75776"/>
    <n v="5"/>
    <s v="20%"/>
    <n v="10785.11"/>
  </r>
  <r>
    <s v="ORD1489"/>
    <s v="28-08-2025"/>
    <s v="Arjun Rana"/>
    <x v="3"/>
    <s v="Rajasthan"/>
    <x v="0"/>
    <s v="Pen"/>
    <s v="Gel Pen Set"/>
    <n v="28692"/>
    <n v="5"/>
    <s v="5%"/>
    <n v="2475.5300000000002"/>
  </r>
  <r>
    <s v="ORD1490"/>
    <s v="06-05-2025"/>
    <s v="Simran Kaur"/>
    <x v="0"/>
    <s v="Haryana"/>
    <x v="1"/>
    <s v="Table"/>
    <s v="Study Table"/>
    <n v="7417"/>
    <n v="4"/>
    <s v="0%"/>
    <n v="1241.1500000000001"/>
  </r>
  <r>
    <s v="ORD1491"/>
    <s v="20-03-2025"/>
    <s v="Sneha Joshi"/>
    <x v="2"/>
    <s v="Karnataka"/>
    <x v="1"/>
    <s v="Chair"/>
    <s v="Office Chair"/>
    <n v="77728"/>
    <n v="7"/>
    <s v="5%"/>
    <n v="8675.18"/>
  </r>
  <r>
    <s v="ORD1492"/>
    <s v="22-02-2025"/>
    <s v="Sneha Joshi"/>
    <x v="0"/>
    <s v="Delhi"/>
    <x v="0"/>
    <s v="Binder"/>
    <s v="A4 Binder"/>
    <n v="38390"/>
    <n v="1"/>
    <s v="5%"/>
    <n v="6061.36"/>
  </r>
  <r>
    <s v="ORD1493"/>
    <s v="06-02-2025"/>
    <s v="Anjali Mehta"/>
    <x v="1"/>
    <s v="Bihar"/>
    <x v="1"/>
    <s v="Chair"/>
    <s v="Office Chair"/>
    <n v="62958"/>
    <n v="5"/>
    <s v="20%"/>
    <n v="15239.82"/>
  </r>
  <r>
    <s v="ORD1494"/>
    <s v="12-06-2025"/>
    <s v="Simran Kaur"/>
    <x v="1"/>
    <s v="Bihar"/>
    <x v="1"/>
    <s v="Bookcase"/>
    <s v="Wooden Bookcase"/>
    <n v="20508"/>
    <n v="4"/>
    <s v="5%"/>
    <n v="3398.08"/>
  </r>
  <r>
    <s v="ORD1495"/>
    <s v="03-10-2025"/>
    <s v="Arjun Rana"/>
    <x v="3"/>
    <s v="Maharashtra"/>
    <x v="1"/>
    <s v="Table"/>
    <s v="Study Table"/>
    <n v="56231"/>
    <n v="9"/>
    <s v="20%"/>
    <n v="12488.82"/>
  </r>
  <r>
    <s v="ORD1496"/>
    <s v="16-11-2025"/>
    <s v="Simran Kaur"/>
    <x v="0"/>
    <s v="Delhi"/>
    <x v="0"/>
    <s v="Pen"/>
    <s v="Gel Pen Set"/>
    <n v="78300"/>
    <n v="4"/>
    <s v="15%"/>
    <n v="17824.96"/>
  </r>
  <r>
    <s v="ORD1497"/>
    <s v="04-08-2025"/>
    <s v="Rohit Gupta"/>
    <x v="0"/>
    <s v="Haryana"/>
    <x v="2"/>
    <s v="Accessories"/>
    <s v="Wireless Mouse"/>
    <n v="62658"/>
    <n v="8"/>
    <s v="5%"/>
    <n v="7186.98"/>
  </r>
  <r>
    <s v="ORD1498"/>
    <s v="20-11-2025"/>
    <s v="Rohit Gupta"/>
    <x v="3"/>
    <s v="Maharashtra"/>
    <x v="1"/>
    <s v="Chair"/>
    <s v="Office Chair"/>
    <n v="35143"/>
    <n v="5"/>
    <s v="5%"/>
    <n v="4568.49"/>
  </r>
  <r>
    <s v="ORD1499"/>
    <s v="15-08-2025"/>
    <s v="Anjali Mehta"/>
    <x v="0"/>
    <s v="Delhi"/>
    <x v="2"/>
    <s v="Accessories"/>
    <s v="Wireless Mouse"/>
    <n v="59045"/>
    <n v="7"/>
    <s v="10%"/>
    <n v="7771.73"/>
  </r>
  <r>
    <s v="ORD1500"/>
    <s v="11-05-2025"/>
    <s v="Karan Patel"/>
    <x v="2"/>
    <s v="Tamil Nadu"/>
    <x v="0"/>
    <s v="Paper"/>
    <s v="A4 Paper Pack"/>
    <n v="23405"/>
    <n v="9"/>
    <s v="10%"/>
    <n v="3120.77"/>
  </r>
  <r>
    <s v="ORD1501"/>
    <s v="03-02-2025"/>
    <s v="Rohit Gupta"/>
    <x v="1"/>
    <s v="West Bengal"/>
    <x v="1"/>
    <s v="Bookcase"/>
    <s v="Wooden Bookcase"/>
    <n v="59700"/>
    <n v="6"/>
    <s v="5%"/>
    <n v="11558.52"/>
  </r>
  <r>
    <s v="ORD1502"/>
    <s v="10-04-2025"/>
    <s v="Simran Kaur"/>
    <x v="0"/>
    <s v="Punjab"/>
    <x v="1"/>
    <s v="Table"/>
    <s v="Study Table"/>
    <n v="76658"/>
    <n v="5"/>
    <s v="10%"/>
    <n v="13853.8"/>
  </r>
  <r>
    <s v="ORD1503"/>
    <s v="07-03-2025"/>
    <s v="Arjun Rana"/>
    <x v="0"/>
    <s v="Punjab"/>
    <x v="0"/>
    <s v="Paper"/>
    <s v="A4 Paper Pack"/>
    <n v="18011"/>
    <n v="2"/>
    <s v="15%"/>
    <n v="1282"/>
  </r>
  <r>
    <s v="ORD1504"/>
    <s v="26-12-2025"/>
    <s v="Anjali Mehta"/>
    <x v="3"/>
    <s v="Rajasthan"/>
    <x v="0"/>
    <s v="Paper"/>
    <s v="A4 Paper Pack"/>
    <n v="58728"/>
    <n v="1"/>
    <s v="0%"/>
    <n v="8910.57"/>
  </r>
  <r>
    <s v="ORD1505"/>
    <s v="17-04-2025"/>
    <s v="Rahul Sharma"/>
    <x v="0"/>
    <s v="Haryana"/>
    <x v="1"/>
    <s v="Chair"/>
    <s v="Office Chair"/>
    <n v="68274"/>
    <n v="9"/>
    <s v="20%"/>
    <n v="15552.39"/>
  </r>
  <r>
    <s v="ORD1506"/>
    <s v="09-10-2025"/>
    <s v="Rahul Sharma"/>
    <x v="2"/>
    <s v="Tamil Nadu"/>
    <x v="2"/>
    <s v="Mobile"/>
    <s v="Samsung Galaxy"/>
    <n v="77386"/>
    <n v="1"/>
    <s v="20%"/>
    <n v="8808.32"/>
  </r>
  <r>
    <s v="ORD1507"/>
    <s v="20-03-2025"/>
    <s v="Neha Singh"/>
    <x v="0"/>
    <s v="Delhi"/>
    <x v="2"/>
    <s v="Accessories"/>
    <s v="Wireless Mouse"/>
    <n v="9437"/>
    <n v="9"/>
    <s v="0%"/>
    <n v="2392.6799999999998"/>
  </r>
  <r>
    <s v="ORD1508"/>
    <s v="21-11-2025"/>
    <s v="Rohit Gupta"/>
    <x v="2"/>
    <s v="Kerala"/>
    <x v="0"/>
    <s v="Paper"/>
    <s v="A4 Paper Pack"/>
    <n v="23188"/>
    <n v="2"/>
    <s v="10%"/>
    <n v="2222.0300000000002"/>
  </r>
  <r>
    <s v="ORD1509"/>
    <s v="22-09-2025"/>
    <s v="Rohit Gupta"/>
    <x v="0"/>
    <s v="Haryana"/>
    <x v="2"/>
    <s v="Laptop"/>
    <s v="HP Pavilion"/>
    <n v="9564"/>
    <n v="9"/>
    <s v="10%"/>
    <n v="2335.0700000000002"/>
  </r>
  <r>
    <s v="ORD1510"/>
    <s v="07-12-2025"/>
    <s v="Neha Singh"/>
    <x v="2"/>
    <s v="Karnataka"/>
    <x v="0"/>
    <s v="Paper"/>
    <s v="A4 Paper Pack"/>
    <n v="52161"/>
    <n v="10"/>
    <s v="0%"/>
    <n v="7952.53"/>
  </r>
  <r>
    <s v="ORD1511"/>
    <s v="02-06-2025"/>
    <s v="Sneha Joshi"/>
    <x v="3"/>
    <s v="Rajasthan"/>
    <x v="0"/>
    <s v="Binder"/>
    <s v="A4 Binder"/>
    <n v="66811"/>
    <n v="8"/>
    <s v="10%"/>
    <n v="6716.73"/>
  </r>
  <r>
    <s v="ORD1512"/>
    <s v="17-03-2025"/>
    <s v="Karan Patel"/>
    <x v="2"/>
    <s v="Karnataka"/>
    <x v="2"/>
    <s v="Laptop"/>
    <s v="HP Pavilion"/>
    <n v="5621"/>
    <n v="6"/>
    <s v="15%"/>
    <n v="545.17999999999995"/>
  </r>
  <r>
    <s v="ORD1513"/>
    <s v="23-11-2025"/>
    <s v="Amit Kumar"/>
    <x v="0"/>
    <s v="Punjab"/>
    <x v="0"/>
    <s v="Binder"/>
    <s v="A4 Binder"/>
    <n v="26810"/>
    <n v="1"/>
    <s v="15%"/>
    <n v="3631.34"/>
  </r>
  <r>
    <s v="ORD1514"/>
    <s v="26-09-2025"/>
    <s v="Neha Singh"/>
    <x v="2"/>
    <s v="Karnataka"/>
    <x v="0"/>
    <s v="Paper"/>
    <s v="A4 Paper Pack"/>
    <n v="41363"/>
    <n v="7"/>
    <s v="0%"/>
    <n v="5605.12"/>
  </r>
  <r>
    <s v="ORD1515"/>
    <s v="10-02-2025"/>
    <s v="Rahul Sharma"/>
    <x v="3"/>
    <s v="Maharashtra"/>
    <x v="1"/>
    <s v="Bookcase"/>
    <s v="Wooden Bookcase"/>
    <n v="32313"/>
    <n v="5"/>
    <s v="20%"/>
    <n v="5659.93"/>
  </r>
  <r>
    <s v="ORD1516"/>
    <s v="24-05-2025"/>
    <s v="Simran Kaur"/>
    <x v="0"/>
    <s v="Punjab"/>
    <x v="0"/>
    <s v="Paper"/>
    <s v="A4 Paper Pack"/>
    <n v="34207"/>
    <n v="5"/>
    <s v="10%"/>
    <n v="7308.82"/>
  </r>
  <r>
    <s v="ORD1517"/>
    <s v="26-03-2025"/>
    <s v="Simran Kaur"/>
    <x v="3"/>
    <s v="Rajasthan"/>
    <x v="0"/>
    <s v="Paper"/>
    <s v="A4 Paper Pack"/>
    <n v="18973"/>
    <n v="4"/>
    <s v="15%"/>
    <n v="3879.37"/>
  </r>
  <r>
    <s v="ORD1518"/>
    <s v="02-03-2025"/>
    <s v="Anjali Mehta"/>
    <x v="0"/>
    <s v="Haryana"/>
    <x v="2"/>
    <s v="Accessories"/>
    <s v="Wireless Mouse"/>
    <n v="54663"/>
    <n v="7"/>
    <s v="5%"/>
    <n v="6954.31"/>
  </r>
  <r>
    <s v="ORD1519"/>
    <s v="16-09-2025"/>
    <s v="Anjali Mehta"/>
    <x v="3"/>
    <s v="Maharashtra"/>
    <x v="1"/>
    <s v="Bookcase"/>
    <s v="Wooden Bookcase"/>
    <n v="15445"/>
    <n v="5"/>
    <s v="0%"/>
    <n v="2690.86"/>
  </r>
  <r>
    <s v="ORD1520"/>
    <s v="29-07-2025"/>
    <s v="Priya Verma"/>
    <x v="3"/>
    <s v="Maharashtra"/>
    <x v="1"/>
    <s v="Table"/>
    <s v="Study Table"/>
    <n v="63138"/>
    <n v="6"/>
    <s v="5%"/>
    <n v="14183.45"/>
  </r>
  <r>
    <s v="ORD1521"/>
    <s v="08-02-2025"/>
    <s v="Neha Singh"/>
    <x v="0"/>
    <s v="Delhi"/>
    <x v="2"/>
    <s v="Mobile"/>
    <s v="Samsung Galaxy"/>
    <n v="48737"/>
    <n v="10"/>
    <s v="15%"/>
    <n v="3515.81"/>
  </r>
  <r>
    <s v="ORD1522"/>
    <s v="13-05-2025"/>
    <s v="Anjali Mehta"/>
    <x v="0"/>
    <s v="Punjab"/>
    <x v="2"/>
    <s v="Accessories"/>
    <s v="Wireless Mouse"/>
    <n v="68442"/>
    <n v="9"/>
    <s v="0%"/>
    <n v="17149.310000000001"/>
  </r>
  <r>
    <s v="ORD1523"/>
    <s v="20-10-2025"/>
    <s v="Priya Verma"/>
    <x v="1"/>
    <s v="Odisha"/>
    <x v="0"/>
    <s v="Pen"/>
    <s v="Gel Pen Set"/>
    <n v="43201"/>
    <n v="3"/>
    <s v="0%"/>
    <n v="5272.8"/>
  </r>
  <r>
    <s v="ORD1524"/>
    <s v="05-01-2025"/>
    <s v="Anjali Mehta"/>
    <x v="3"/>
    <s v="Maharashtra"/>
    <x v="2"/>
    <s v="Accessories"/>
    <s v="Wireless Mouse"/>
    <n v="79734"/>
    <n v="5"/>
    <s v="0%"/>
    <n v="18129.27"/>
  </r>
  <r>
    <s v="ORD1525"/>
    <s v="09-12-2025"/>
    <s v="Rohit Gupta"/>
    <x v="3"/>
    <s v="Maharashtra"/>
    <x v="2"/>
    <s v="Laptop"/>
    <s v="HP Pavilion"/>
    <n v="26895"/>
    <n v="7"/>
    <s v="0%"/>
    <n v="3969.34"/>
  </r>
  <r>
    <s v="ORD1526"/>
    <s v="15-09-2025"/>
    <s v="Rohit Gupta"/>
    <x v="3"/>
    <s v="Gujarat"/>
    <x v="1"/>
    <s v="Bookcase"/>
    <s v="Wooden Bookcase"/>
    <n v="78224"/>
    <n v="6"/>
    <s v="10%"/>
    <n v="13544.37"/>
  </r>
  <r>
    <s v="ORD1527"/>
    <s v="06-05-2025"/>
    <s v="Rahul Sharma"/>
    <x v="3"/>
    <s v="Gujarat"/>
    <x v="0"/>
    <s v="Paper"/>
    <s v="A4 Paper Pack"/>
    <n v="31873"/>
    <n v="6"/>
    <s v="10%"/>
    <n v="2274.0300000000002"/>
  </r>
  <r>
    <s v="ORD1528"/>
    <s v="08-01-2025"/>
    <s v="Simran Kaur"/>
    <x v="1"/>
    <s v="West Bengal"/>
    <x v="0"/>
    <s v="Paper"/>
    <s v="A4 Paper Pack"/>
    <n v="4028"/>
    <n v="4"/>
    <s v="15%"/>
    <n v="979.6"/>
  </r>
  <r>
    <s v="ORD1529"/>
    <s v="10-07-2025"/>
    <s v="Rohit Gupta"/>
    <x v="2"/>
    <s v="Kerala"/>
    <x v="0"/>
    <s v="Pen"/>
    <s v="Gel Pen Set"/>
    <n v="45166"/>
    <n v="10"/>
    <s v="15%"/>
    <n v="8526.68"/>
  </r>
  <r>
    <s v="ORD1530"/>
    <s v="14-03-2025"/>
    <s v="Priya Verma"/>
    <x v="2"/>
    <s v="Karnataka"/>
    <x v="1"/>
    <s v="Table"/>
    <s v="Study Table"/>
    <n v="64666"/>
    <n v="7"/>
    <s v="5%"/>
    <n v="10158.49"/>
  </r>
  <r>
    <s v="ORD1531"/>
    <s v="12-06-2025"/>
    <s v="Arjun Rana"/>
    <x v="1"/>
    <s v="Bihar"/>
    <x v="1"/>
    <s v="Bookcase"/>
    <s v="Wooden Bookcase"/>
    <n v="52707"/>
    <n v="6"/>
    <s v="15%"/>
    <n v="10175.200000000001"/>
  </r>
  <r>
    <s v="ORD1532"/>
    <s v="23-05-2025"/>
    <s v="Priya Verma"/>
    <x v="2"/>
    <s v="Tamil Nadu"/>
    <x v="0"/>
    <s v="Paper"/>
    <s v="A4 Paper Pack"/>
    <n v="20824"/>
    <n v="9"/>
    <s v="10%"/>
    <n v="1805.62"/>
  </r>
  <r>
    <s v="ORD1533"/>
    <s v="25-12-2025"/>
    <s v="Priya Verma"/>
    <x v="0"/>
    <s v="Delhi"/>
    <x v="0"/>
    <s v="Binder"/>
    <s v="A4 Binder"/>
    <n v="28788"/>
    <n v="4"/>
    <s v="5%"/>
    <n v="4045.7"/>
  </r>
  <r>
    <s v="ORD1534"/>
    <s v="25-01-2025"/>
    <s v="Priya Verma"/>
    <x v="1"/>
    <s v="West Bengal"/>
    <x v="2"/>
    <s v="Accessories"/>
    <s v="Wireless Mouse"/>
    <n v="75947"/>
    <n v="10"/>
    <s v="0%"/>
    <n v="11663.55"/>
  </r>
  <r>
    <s v="ORD1535"/>
    <s v="08-01-2025"/>
    <s v="Karan Patel"/>
    <x v="0"/>
    <s v="Haryana"/>
    <x v="0"/>
    <s v="Binder"/>
    <s v="A4 Binder"/>
    <n v="51390"/>
    <n v="10"/>
    <s v="15%"/>
    <n v="13599.94"/>
  </r>
  <r>
    <s v="ORD1536"/>
    <s v="02-11-2025"/>
    <s v="Rahul Sharma"/>
    <x v="2"/>
    <s v="Karnataka"/>
    <x v="0"/>
    <s v="Paper"/>
    <s v="A4 Paper Pack"/>
    <n v="40430"/>
    <n v="1"/>
    <s v="15%"/>
    <n v="8402.76"/>
  </r>
  <r>
    <s v="ORD1537"/>
    <s v="17-01-2025"/>
    <s v="Priya Verma"/>
    <x v="2"/>
    <s v="Karnataka"/>
    <x v="2"/>
    <s v="Laptop"/>
    <s v="HP Pavilion"/>
    <n v="26833"/>
    <n v="8"/>
    <s v="5%"/>
    <n v="5147.4399999999996"/>
  </r>
  <r>
    <s v="ORD1538"/>
    <s v="19-03-2025"/>
    <s v="Arjun Rana"/>
    <x v="1"/>
    <s v="Bihar"/>
    <x v="2"/>
    <s v="Accessories"/>
    <s v="Wireless Mouse"/>
    <n v="79185"/>
    <n v="5"/>
    <s v="10%"/>
    <n v="9566.93"/>
  </r>
  <r>
    <s v="ORD1539"/>
    <s v="06-07-2025"/>
    <s v="Amit Kumar"/>
    <x v="0"/>
    <s v="Delhi"/>
    <x v="2"/>
    <s v="Mobile"/>
    <s v="Samsung Galaxy"/>
    <n v="30249"/>
    <n v="2"/>
    <s v="0%"/>
    <n v="8343.1299999999992"/>
  </r>
  <r>
    <s v="ORD1540"/>
    <s v="14-04-2025"/>
    <s v="Priya Verma"/>
    <x v="0"/>
    <s v="Haryana"/>
    <x v="2"/>
    <s v="Laptop"/>
    <s v="HP Pavilion"/>
    <n v="54609"/>
    <n v="6"/>
    <s v="10%"/>
    <n v="6189.62"/>
  </r>
  <r>
    <s v="ORD1541"/>
    <s v="20-11-2025"/>
    <s v="Karan Patel"/>
    <x v="2"/>
    <s v="Kerala"/>
    <x v="1"/>
    <s v="Table"/>
    <s v="Study Table"/>
    <n v="4505"/>
    <n v="4"/>
    <s v="15%"/>
    <n v="699.03"/>
  </r>
  <r>
    <s v="ORD1542"/>
    <s v="08-10-2025"/>
    <s v="Karan Patel"/>
    <x v="3"/>
    <s v="Maharashtra"/>
    <x v="2"/>
    <s v="Mobile"/>
    <s v="Samsung Galaxy"/>
    <n v="36373"/>
    <n v="7"/>
    <s v="0%"/>
    <n v="5092.25"/>
  </r>
  <r>
    <s v="ORD1543"/>
    <s v="31-10-2025"/>
    <s v="Priya Verma"/>
    <x v="2"/>
    <s v="Tamil Nadu"/>
    <x v="1"/>
    <s v="Bookcase"/>
    <s v="Wooden Bookcase"/>
    <n v="53466"/>
    <n v="6"/>
    <s v="15%"/>
    <n v="5288"/>
  </r>
  <r>
    <s v="ORD1544"/>
    <s v="07-07-2025"/>
    <s v="Priya Verma"/>
    <x v="1"/>
    <s v="Bihar"/>
    <x v="1"/>
    <s v="Table"/>
    <s v="Study Table"/>
    <n v="3183"/>
    <n v="8"/>
    <s v="20%"/>
    <n v="802.12"/>
  </r>
  <r>
    <s v="ORD1545"/>
    <s v="29-01-2025"/>
    <s v="Sneha Joshi"/>
    <x v="3"/>
    <s v="Maharashtra"/>
    <x v="0"/>
    <s v="Pen"/>
    <s v="Gel Pen Set"/>
    <n v="19515"/>
    <n v="2"/>
    <s v="5%"/>
    <n v="4398.87"/>
  </r>
  <r>
    <s v="ORD1546"/>
    <s v="09-12-2025"/>
    <s v="Karan Patel"/>
    <x v="3"/>
    <s v="Gujarat"/>
    <x v="1"/>
    <s v="Table"/>
    <s v="Study Table"/>
    <n v="61548"/>
    <n v="2"/>
    <s v="20%"/>
    <n v="10888.27"/>
  </r>
  <r>
    <s v="ORD1547"/>
    <s v="07-12-2025"/>
    <s v="Anjali Mehta"/>
    <x v="3"/>
    <s v="Rajasthan"/>
    <x v="1"/>
    <s v="Bookcase"/>
    <s v="Wooden Bookcase"/>
    <n v="72860"/>
    <n v="4"/>
    <s v="10%"/>
    <n v="8465.1"/>
  </r>
  <r>
    <s v="ORD1548"/>
    <s v="30-01-2025"/>
    <s v="Neha Singh"/>
    <x v="3"/>
    <s v="Maharashtra"/>
    <x v="2"/>
    <s v="Accessories"/>
    <s v="Wireless Mouse"/>
    <n v="55060"/>
    <n v="4"/>
    <s v="0%"/>
    <n v="11717.91"/>
  </r>
  <r>
    <s v="ORD1549"/>
    <s v="22-07-2025"/>
    <s v="Karan Patel"/>
    <x v="3"/>
    <s v="Maharashtra"/>
    <x v="0"/>
    <s v="Paper"/>
    <s v="A4 Paper Pack"/>
    <n v="51177"/>
    <n v="5"/>
    <s v="5%"/>
    <n v="7614.21"/>
  </r>
  <r>
    <s v="ORD1550"/>
    <s v="07-01-2025"/>
    <s v="Amit Kumar"/>
    <x v="0"/>
    <s v="Delhi"/>
    <x v="0"/>
    <s v="Binder"/>
    <s v="A4 Binder"/>
    <n v="9971"/>
    <n v="9"/>
    <s v="5%"/>
    <n v="1058.69"/>
  </r>
  <r>
    <s v="ORD1551"/>
    <s v="10-11-2025"/>
    <s v="Amit Kumar"/>
    <x v="0"/>
    <s v="Punjab"/>
    <x v="1"/>
    <s v="Table"/>
    <s v="Study Table"/>
    <n v="10538"/>
    <n v="1"/>
    <s v="10%"/>
    <n v="2491.62"/>
  </r>
  <r>
    <s v="ORD1552"/>
    <s v="01-10-2025"/>
    <s v="Neha Singh"/>
    <x v="3"/>
    <s v="Gujarat"/>
    <x v="0"/>
    <s v="Binder"/>
    <s v="A4 Binder"/>
    <n v="50238"/>
    <n v="1"/>
    <s v="0%"/>
    <n v="8706"/>
  </r>
  <r>
    <s v="ORD1553"/>
    <s v="04-03-2025"/>
    <s v="Rohit Gupta"/>
    <x v="0"/>
    <s v="Haryana"/>
    <x v="2"/>
    <s v="Accessories"/>
    <s v="Wireless Mouse"/>
    <n v="62550"/>
    <n v="8"/>
    <s v="20%"/>
    <n v="4004.21"/>
  </r>
  <r>
    <s v="ORD1554"/>
    <s v="10-06-2025"/>
    <s v="Neha Singh"/>
    <x v="3"/>
    <s v="Rajasthan"/>
    <x v="2"/>
    <s v="Accessories"/>
    <s v="Wireless Mouse"/>
    <n v="16127"/>
    <n v="5"/>
    <s v="0%"/>
    <n v="3574.73"/>
  </r>
  <r>
    <s v="ORD1555"/>
    <s v="19-03-2025"/>
    <s v="Simran Kaur"/>
    <x v="2"/>
    <s v="Karnataka"/>
    <x v="2"/>
    <s v="Accessories"/>
    <s v="Wireless Mouse"/>
    <n v="60964"/>
    <n v="4"/>
    <s v="15%"/>
    <n v="13619.55"/>
  </r>
  <r>
    <s v="ORD1556"/>
    <s v="08-11-2025"/>
    <s v="Amit Kumar"/>
    <x v="0"/>
    <s v="Delhi"/>
    <x v="0"/>
    <s v="Paper"/>
    <s v="A4 Paper Pack"/>
    <n v="16906"/>
    <n v="5"/>
    <s v="5%"/>
    <n v="4074.16"/>
  </r>
  <r>
    <s v="ORD1557"/>
    <s v="15-12-2025"/>
    <s v="Priya Verma"/>
    <x v="3"/>
    <s v="Maharashtra"/>
    <x v="1"/>
    <s v="Bookcase"/>
    <s v="Wooden Bookcase"/>
    <n v="4755"/>
    <n v="2"/>
    <s v="10%"/>
    <n v="1119.3399999999999"/>
  </r>
  <r>
    <s v="ORD1558"/>
    <s v="29-03-2025"/>
    <s v="Priya Verma"/>
    <x v="2"/>
    <s v="Tamil Nadu"/>
    <x v="0"/>
    <s v="Paper"/>
    <s v="A4 Paper Pack"/>
    <n v="19124"/>
    <n v="10"/>
    <s v="5%"/>
    <n v="4116.04"/>
  </r>
  <r>
    <s v="ORD1559"/>
    <s v="03-03-2025"/>
    <s v="Amit Kumar"/>
    <x v="2"/>
    <s v="Tamil Nadu"/>
    <x v="2"/>
    <s v="Accessories"/>
    <s v="Wireless Mouse"/>
    <n v="4373"/>
    <n v="10"/>
    <s v="20%"/>
    <n v="701.14"/>
  </r>
  <r>
    <s v="ORD1560"/>
    <s v="27-11-2025"/>
    <s v="Priya Verma"/>
    <x v="0"/>
    <s v="Punjab"/>
    <x v="1"/>
    <s v="Table"/>
    <s v="Study Table"/>
    <n v="55539"/>
    <n v="6"/>
    <s v="0%"/>
    <n v="8601.17"/>
  </r>
  <r>
    <s v="ORD1561"/>
    <s v="13-11-2025"/>
    <s v="Karan Patel"/>
    <x v="0"/>
    <s v="Delhi"/>
    <x v="1"/>
    <s v="Chair"/>
    <s v="Office Chair"/>
    <n v="18283"/>
    <n v="7"/>
    <s v="10%"/>
    <n v="3427.13"/>
  </r>
  <r>
    <s v="ORD1562"/>
    <s v="13-08-2025"/>
    <s v="Simran Kaur"/>
    <x v="2"/>
    <s v="Tamil Nadu"/>
    <x v="0"/>
    <s v="Binder"/>
    <s v="A4 Binder"/>
    <n v="52422"/>
    <n v="4"/>
    <s v="5%"/>
    <n v="8146.85"/>
  </r>
  <r>
    <s v="ORD1563"/>
    <s v="04-04-2025"/>
    <s v="Amit Kumar"/>
    <x v="1"/>
    <s v="Odisha"/>
    <x v="1"/>
    <s v="Chair"/>
    <s v="Office Chair"/>
    <n v="70389"/>
    <n v="5"/>
    <s v="0%"/>
    <n v="7619.14"/>
  </r>
  <r>
    <s v="ORD1564"/>
    <s v="06-11-2025"/>
    <s v="Simran Kaur"/>
    <x v="2"/>
    <s v="Kerala"/>
    <x v="0"/>
    <s v="Binder"/>
    <s v="A4 Binder"/>
    <n v="4782"/>
    <n v="1"/>
    <s v="20%"/>
    <n v="337.36"/>
  </r>
  <r>
    <s v="ORD1565"/>
    <s v="22-08-2025"/>
    <s v="Rahul Sharma"/>
    <x v="3"/>
    <s v="Maharashtra"/>
    <x v="0"/>
    <s v="Binder"/>
    <s v="A4 Binder"/>
    <n v="42137"/>
    <n v="10"/>
    <s v="0%"/>
    <n v="5537.6"/>
  </r>
  <r>
    <s v="ORD1566"/>
    <s v="10-03-2025"/>
    <s v="Sneha Joshi"/>
    <x v="0"/>
    <s v="Punjab"/>
    <x v="2"/>
    <s v="Laptop"/>
    <s v="HP Pavilion"/>
    <n v="12472"/>
    <n v="4"/>
    <s v="5%"/>
    <n v="1092.73"/>
  </r>
  <r>
    <s v="ORD1567"/>
    <s v="26-03-2025"/>
    <s v="Neha Singh"/>
    <x v="1"/>
    <s v="West Bengal"/>
    <x v="1"/>
    <s v="Chair"/>
    <s v="Office Chair"/>
    <n v="11977"/>
    <n v="10"/>
    <s v="0%"/>
    <n v="1978.81"/>
  </r>
  <r>
    <s v="ORD1568"/>
    <s v="07-10-2025"/>
    <s v="Priya Verma"/>
    <x v="3"/>
    <s v="Maharashtra"/>
    <x v="1"/>
    <s v="Bookcase"/>
    <s v="Wooden Bookcase"/>
    <n v="78618"/>
    <n v="1"/>
    <s v="0%"/>
    <n v="18459.689999999999"/>
  </r>
  <r>
    <s v="ORD1569"/>
    <s v="31-10-2025"/>
    <s v="Sneha Joshi"/>
    <x v="2"/>
    <s v="Karnataka"/>
    <x v="2"/>
    <s v="Accessories"/>
    <s v="Wireless Mouse"/>
    <n v="11565"/>
    <n v="1"/>
    <s v="20%"/>
    <n v="2675.01"/>
  </r>
  <r>
    <s v="ORD1570"/>
    <s v="03-09-2025"/>
    <s v="Priya Verma"/>
    <x v="3"/>
    <s v="Rajasthan"/>
    <x v="0"/>
    <s v="Binder"/>
    <s v="A4 Binder"/>
    <n v="16237"/>
    <n v="10"/>
    <s v="0%"/>
    <n v="3805.44"/>
  </r>
  <r>
    <s v="ORD1571"/>
    <s v="15-02-2025"/>
    <s v="Amit Kumar"/>
    <x v="1"/>
    <s v="West Bengal"/>
    <x v="1"/>
    <s v="Table"/>
    <s v="Study Table"/>
    <n v="74425"/>
    <n v="4"/>
    <s v="0%"/>
    <n v="6849.27"/>
  </r>
  <r>
    <s v="ORD1572"/>
    <s v="29-03-2025"/>
    <s v="Amit Kumar"/>
    <x v="3"/>
    <s v="Gujarat"/>
    <x v="1"/>
    <s v="Table"/>
    <s v="Study Table"/>
    <n v="15872"/>
    <n v="7"/>
    <s v="15%"/>
    <n v="2845.55"/>
  </r>
  <r>
    <s v="ORD1573"/>
    <s v="08-05-2025"/>
    <s v="Amit Kumar"/>
    <x v="2"/>
    <s v="Tamil Nadu"/>
    <x v="2"/>
    <s v="Accessories"/>
    <s v="Wireless Mouse"/>
    <n v="44827"/>
    <n v="8"/>
    <s v="5%"/>
    <n v="6444.12"/>
  </r>
  <r>
    <s v="ORD1574"/>
    <s v="30-12-2025"/>
    <s v="Rohit Gupta"/>
    <x v="0"/>
    <s v="Delhi"/>
    <x v="1"/>
    <s v="Table"/>
    <s v="Study Table"/>
    <n v="21104"/>
    <n v="1"/>
    <s v="5%"/>
    <n v="4428.1499999999996"/>
  </r>
  <r>
    <s v="ORD1575"/>
    <s v="24-05-2025"/>
    <s v="Simran Kaur"/>
    <x v="3"/>
    <s v="Rajasthan"/>
    <x v="0"/>
    <s v="Pen"/>
    <s v="Gel Pen Set"/>
    <n v="27120"/>
    <n v="6"/>
    <s v="10%"/>
    <n v="6077.43"/>
  </r>
  <r>
    <s v="ORD1576"/>
    <s v="17-09-2025"/>
    <s v="Priya Verma"/>
    <x v="2"/>
    <s v="Karnataka"/>
    <x v="0"/>
    <s v="Binder"/>
    <s v="A4 Binder"/>
    <n v="54725"/>
    <n v="7"/>
    <s v="0%"/>
    <n v="11070.49"/>
  </r>
  <r>
    <s v="ORD1577"/>
    <s v="14-07-2025"/>
    <s v="Anjali Mehta"/>
    <x v="2"/>
    <s v="Karnataka"/>
    <x v="1"/>
    <s v="Bookcase"/>
    <s v="Wooden Bookcase"/>
    <n v="10073"/>
    <n v="7"/>
    <s v="0%"/>
    <n v="2647.66"/>
  </r>
  <r>
    <s v="ORD1578"/>
    <s v="06-04-2025"/>
    <s v="Rohit Gupta"/>
    <x v="3"/>
    <s v="Maharashtra"/>
    <x v="1"/>
    <s v="Table"/>
    <s v="Study Table"/>
    <n v="77607"/>
    <n v="8"/>
    <s v="5%"/>
    <n v="10916.25"/>
  </r>
  <r>
    <s v="ORD1579"/>
    <s v="31-05-2025"/>
    <s v="Neha Singh"/>
    <x v="2"/>
    <s v="Kerala"/>
    <x v="0"/>
    <s v="Paper"/>
    <s v="A4 Paper Pack"/>
    <n v="47405"/>
    <n v="4"/>
    <s v="15%"/>
    <n v="4083.72"/>
  </r>
  <r>
    <s v="ORD1580"/>
    <s v="17-12-2025"/>
    <s v="Priya Verma"/>
    <x v="1"/>
    <s v="Odisha"/>
    <x v="2"/>
    <s v="Accessories"/>
    <s v="Wireless Mouse"/>
    <n v="63745"/>
    <n v="1"/>
    <s v="0%"/>
    <n v="16713.03"/>
  </r>
  <r>
    <s v="ORD1581"/>
    <s v="14-08-2025"/>
    <s v="Priya Verma"/>
    <x v="3"/>
    <s v="Gujarat"/>
    <x v="1"/>
    <s v="Table"/>
    <s v="Study Table"/>
    <n v="12101"/>
    <n v="8"/>
    <s v="20%"/>
    <n v="2186.08"/>
  </r>
  <r>
    <s v="ORD1582"/>
    <s v="18-06-2025"/>
    <s v="Amit Kumar"/>
    <x v="3"/>
    <s v="Rajasthan"/>
    <x v="1"/>
    <s v="Table"/>
    <s v="Study Table"/>
    <n v="24415"/>
    <n v="2"/>
    <s v="20%"/>
    <n v="6227.5"/>
  </r>
  <r>
    <s v="ORD1583"/>
    <s v="01-08-2025"/>
    <s v="Rohit Gupta"/>
    <x v="2"/>
    <s v="Kerala"/>
    <x v="2"/>
    <s v="Laptop"/>
    <s v="HP Pavilion"/>
    <n v="51269"/>
    <n v="8"/>
    <s v="5%"/>
    <n v="5572.75"/>
  </r>
  <r>
    <s v="ORD1584"/>
    <s v="31-07-2025"/>
    <s v="Rahul Sharma"/>
    <x v="1"/>
    <s v="West Bengal"/>
    <x v="2"/>
    <s v="Mobile"/>
    <s v="Samsung Galaxy"/>
    <n v="34522"/>
    <n v="9"/>
    <s v="10%"/>
    <n v="5349.17"/>
  </r>
  <r>
    <s v="ORD1585"/>
    <s v="08-04-2025"/>
    <s v="Anjali Mehta"/>
    <x v="1"/>
    <s v="West Bengal"/>
    <x v="2"/>
    <s v="Mobile"/>
    <s v="Samsung Galaxy"/>
    <n v="12640"/>
    <n v="7"/>
    <s v="10%"/>
    <n v="1190.9100000000001"/>
  </r>
  <r>
    <s v="ORD1586"/>
    <s v="04-02-2025"/>
    <s v="Rahul Sharma"/>
    <x v="3"/>
    <s v="Rajasthan"/>
    <x v="0"/>
    <s v="Binder"/>
    <s v="A4 Binder"/>
    <n v="57804"/>
    <n v="6"/>
    <s v="5%"/>
    <n v="13321.55"/>
  </r>
  <r>
    <s v="ORD1587"/>
    <s v="27-05-2025"/>
    <s v="Priya Verma"/>
    <x v="1"/>
    <s v="Bihar"/>
    <x v="2"/>
    <s v="Mobile"/>
    <s v="Samsung Galaxy"/>
    <n v="17255"/>
    <n v="2"/>
    <s v="0%"/>
    <n v="4408.74"/>
  </r>
  <r>
    <s v="ORD1588"/>
    <s v="05-01-2025"/>
    <s v="Rahul Sharma"/>
    <x v="3"/>
    <s v="Maharashtra"/>
    <x v="1"/>
    <s v="Bookcase"/>
    <s v="Wooden Bookcase"/>
    <n v="6779"/>
    <n v="8"/>
    <s v="10%"/>
    <n v="1714.33"/>
  </r>
  <r>
    <s v="ORD1589"/>
    <s v="18-12-2025"/>
    <s v="Simran Kaur"/>
    <x v="2"/>
    <s v="Karnataka"/>
    <x v="2"/>
    <s v="Mobile"/>
    <s v="Samsung Galaxy"/>
    <n v="23747"/>
    <n v="9"/>
    <s v="0%"/>
    <n v="2572.46"/>
  </r>
  <r>
    <s v="ORD1590"/>
    <s v="17-05-2025"/>
    <s v="Anjali Mehta"/>
    <x v="2"/>
    <s v="Tamil Nadu"/>
    <x v="1"/>
    <s v="Bookcase"/>
    <s v="Wooden Bookcase"/>
    <n v="13907"/>
    <n v="3"/>
    <s v="0%"/>
    <n v="3628.69"/>
  </r>
  <r>
    <s v="ORD1591"/>
    <s v="23-11-2025"/>
    <s v="Simran Kaur"/>
    <x v="0"/>
    <s v="Haryana"/>
    <x v="0"/>
    <s v="Binder"/>
    <s v="A4 Binder"/>
    <n v="18261"/>
    <n v="5"/>
    <s v="20%"/>
    <n v="3512.15"/>
  </r>
  <r>
    <s v="ORD1592"/>
    <s v="28-12-2025"/>
    <s v="Simran Kaur"/>
    <x v="2"/>
    <s v="Kerala"/>
    <x v="1"/>
    <s v="Bookcase"/>
    <s v="Wooden Bookcase"/>
    <n v="73896"/>
    <n v="4"/>
    <s v="20%"/>
    <n v="5942.72"/>
  </r>
  <r>
    <s v="ORD1593"/>
    <s v="30-07-2025"/>
    <s v="Amit Kumar"/>
    <x v="2"/>
    <s v="Kerala"/>
    <x v="2"/>
    <s v="Mobile"/>
    <s v="Samsung Galaxy"/>
    <n v="8723"/>
    <n v="4"/>
    <s v="20%"/>
    <n v="1002.9"/>
  </r>
  <r>
    <s v="ORD1594"/>
    <s v="28-10-2025"/>
    <s v="Neha Singh"/>
    <x v="0"/>
    <s v="Haryana"/>
    <x v="2"/>
    <s v="Accessories"/>
    <s v="Wireless Mouse"/>
    <n v="72735"/>
    <n v="3"/>
    <s v="20%"/>
    <n v="13125.17"/>
  </r>
  <r>
    <s v="ORD1595"/>
    <s v="30-07-2025"/>
    <s v="Amit Kumar"/>
    <x v="3"/>
    <s v="Rajasthan"/>
    <x v="1"/>
    <s v="Bookcase"/>
    <s v="Wooden Bookcase"/>
    <n v="19753"/>
    <n v="3"/>
    <s v="0%"/>
    <n v="3523.72"/>
  </r>
  <r>
    <s v="ORD1596"/>
    <s v="03-01-2025"/>
    <s v="Priya Verma"/>
    <x v="1"/>
    <s v="Bihar"/>
    <x v="0"/>
    <s v="Paper"/>
    <s v="A4 Paper Pack"/>
    <n v="13118"/>
    <n v="8"/>
    <s v="20%"/>
    <n v="1225.07"/>
  </r>
  <r>
    <s v="ORD1597"/>
    <s v="25-01-2025"/>
    <s v="Sneha Joshi"/>
    <x v="3"/>
    <s v="Gujarat"/>
    <x v="0"/>
    <s v="Binder"/>
    <s v="A4 Binder"/>
    <n v="19374"/>
    <n v="3"/>
    <s v="20%"/>
    <n v="3925.33"/>
  </r>
  <r>
    <s v="ORD1598"/>
    <s v="03-02-2025"/>
    <s v="Simran Kaur"/>
    <x v="0"/>
    <s v="Delhi"/>
    <x v="1"/>
    <s v="Table"/>
    <s v="Study Table"/>
    <n v="33689"/>
    <n v="8"/>
    <s v="10%"/>
    <n v="8125.43"/>
  </r>
  <r>
    <s v="ORD1599"/>
    <s v="04-10-2025"/>
    <s v="Priya Verma"/>
    <x v="0"/>
    <s v="Punjab"/>
    <x v="2"/>
    <s v="Laptop"/>
    <s v="HP Pavilion"/>
    <n v="8028"/>
    <n v="3"/>
    <s v="15%"/>
    <n v="2076.66"/>
  </r>
  <r>
    <s v="ORD1600"/>
    <s v="27-11-2025"/>
    <s v="Sneha Joshi"/>
    <x v="1"/>
    <s v="Bihar"/>
    <x v="1"/>
    <s v="Table"/>
    <s v="Study Table"/>
    <n v="8413"/>
    <n v="3"/>
    <s v="20%"/>
    <n v="999.94"/>
  </r>
  <r>
    <s v="ORD1601"/>
    <s v="27-12-2025"/>
    <s v="Rohit Gupta"/>
    <x v="0"/>
    <s v="Punjab"/>
    <x v="1"/>
    <s v="Table"/>
    <s v="Study Table"/>
    <n v="18429"/>
    <n v="2"/>
    <s v="15%"/>
    <n v="1686.02"/>
  </r>
  <r>
    <s v="ORD1602"/>
    <s v="04-01-2025"/>
    <s v="Anjali Mehta"/>
    <x v="0"/>
    <s v="Haryana"/>
    <x v="1"/>
    <s v="Chair"/>
    <s v="Office Chair"/>
    <n v="42679"/>
    <n v="1"/>
    <s v="5%"/>
    <n v="10612.62"/>
  </r>
  <r>
    <s v="ORD1603"/>
    <s v="31-12-2025"/>
    <s v="Rahul Sharma"/>
    <x v="1"/>
    <s v="Odisha"/>
    <x v="0"/>
    <s v="Paper"/>
    <s v="A4 Paper Pack"/>
    <n v="8340"/>
    <n v="4"/>
    <s v="5%"/>
    <n v="2191.39"/>
  </r>
  <r>
    <s v="ORD1604"/>
    <s v="30-04-2025"/>
    <s v="Anjali Mehta"/>
    <x v="1"/>
    <s v="Odisha"/>
    <x v="1"/>
    <s v="Table"/>
    <s v="Study Table"/>
    <n v="30958"/>
    <n v="9"/>
    <s v="15%"/>
    <n v="2665.17"/>
  </r>
  <r>
    <s v="ORD1605"/>
    <s v="07-08-2025"/>
    <s v="Anjali Mehta"/>
    <x v="0"/>
    <s v="Punjab"/>
    <x v="2"/>
    <s v="Mobile"/>
    <s v="Samsung Galaxy"/>
    <n v="19938"/>
    <n v="10"/>
    <s v="5%"/>
    <n v="3509.37"/>
  </r>
  <r>
    <s v="ORD1606"/>
    <s v="14-11-2025"/>
    <s v="Rohit Gupta"/>
    <x v="2"/>
    <s v="Karnataka"/>
    <x v="1"/>
    <s v="Table"/>
    <s v="Study Table"/>
    <n v="1358"/>
    <n v="10"/>
    <s v="15%"/>
    <n v="154.08000000000001"/>
  </r>
  <r>
    <s v="ORD1607"/>
    <s v="05-06-2025"/>
    <s v="Rahul Sharma"/>
    <x v="0"/>
    <s v="Punjab"/>
    <x v="0"/>
    <s v="Binder"/>
    <s v="A4 Binder"/>
    <n v="26051"/>
    <n v="9"/>
    <s v="10%"/>
    <n v="4650.26"/>
  </r>
  <r>
    <s v="ORD1608"/>
    <s v="20-11-2025"/>
    <s v="Simran Kaur"/>
    <x v="0"/>
    <s v="Haryana"/>
    <x v="0"/>
    <s v="Paper"/>
    <s v="A4 Paper Pack"/>
    <n v="6510"/>
    <n v="1"/>
    <s v="5%"/>
    <n v="1320.01"/>
  </r>
  <r>
    <s v="ORD1609"/>
    <s v="18-09-2025"/>
    <s v="Sneha Joshi"/>
    <x v="3"/>
    <s v="Gujarat"/>
    <x v="0"/>
    <s v="Pen"/>
    <s v="Gel Pen Set"/>
    <n v="51008"/>
    <n v="10"/>
    <s v="5%"/>
    <n v="11787.06"/>
  </r>
  <r>
    <s v="ORD1610"/>
    <s v="30-01-2025"/>
    <s v="Amit Kumar"/>
    <x v="1"/>
    <s v="Odisha"/>
    <x v="0"/>
    <s v="Binder"/>
    <s v="A4 Binder"/>
    <n v="33580"/>
    <n v="7"/>
    <s v="5%"/>
    <n v="6622.65"/>
  </r>
  <r>
    <s v="ORD1611"/>
    <s v="25-12-2025"/>
    <s v="Anjali Mehta"/>
    <x v="1"/>
    <s v="West Bengal"/>
    <x v="1"/>
    <s v="Bookcase"/>
    <s v="Wooden Bookcase"/>
    <n v="31250"/>
    <n v="4"/>
    <s v="5%"/>
    <n v="5055.0600000000004"/>
  </r>
  <r>
    <s v="ORD1612"/>
    <s v="22-09-2025"/>
    <s v="Amit Kumar"/>
    <x v="3"/>
    <s v="Rajasthan"/>
    <x v="2"/>
    <s v="Accessories"/>
    <s v="Wireless Mouse"/>
    <n v="4550"/>
    <n v="3"/>
    <s v="20%"/>
    <n v="908.83"/>
  </r>
  <r>
    <s v="ORD1613"/>
    <s v="18-01-2025"/>
    <s v="Arjun Rana"/>
    <x v="3"/>
    <s v="Rajasthan"/>
    <x v="0"/>
    <s v="Binder"/>
    <s v="A4 Binder"/>
    <n v="14048"/>
    <n v="2"/>
    <s v="15%"/>
    <n v="2080.37"/>
  </r>
  <r>
    <s v="ORD1614"/>
    <s v="15-02-2025"/>
    <s v="Simran Kaur"/>
    <x v="3"/>
    <s v="Maharashtra"/>
    <x v="1"/>
    <s v="Chair"/>
    <s v="Office Chair"/>
    <n v="52512"/>
    <n v="3"/>
    <s v="5%"/>
    <n v="12058.25"/>
  </r>
  <r>
    <s v="ORD1615"/>
    <s v="18-09-2025"/>
    <s v="Sneha Joshi"/>
    <x v="1"/>
    <s v="Bihar"/>
    <x v="2"/>
    <s v="Mobile"/>
    <s v="Samsung Galaxy"/>
    <n v="24546"/>
    <n v="5"/>
    <s v="0%"/>
    <n v="6400.89"/>
  </r>
  <r>
    <s v="ORD1616"/>
    <s v="29-06-2025"/>
    <s v="Simran Kaur"/>
    <x v="2"/>
    <s v="Karnataka"/>
    <x v="0"/>
    <s v="Pen"/>
    <s v="Gel Pen Set"/>
    <n v="77717"/>
    <n v="3"/>
    <s v="15%"/>
    <n v="15277.87"/>
  </r>
  <r>
    <s v="ORD1617"/>
    <s v="01-12-2025"/>
    <s v="Simran Kaur"/>
    <x v="1"/>
    <s v="Bihar"/>
    <x v="1"/>
    <s v="Bookcase"/>
    <s v="Wooden Bookcase"/>
    <n v="26869"/>
    <n v="6"/>
    <s v="15%"/>
    <n v="6667.94"/>
  </r>
  <r>
    <s v="ORD1618"/>
    <s v="08-08-2025"/>
    <s v="Karan Patel"/>
    <x v="1"/>
    <s v="Odisha"/>
    <x v="0"/>
    <s v="Paper"/>
    <s v="A4 Paper Pack"/>
    <n v="55909"/>
    <n v="7"/>
    <s v="10%"/>
    <n v="7908.21"/>
  </r>
  <r>
    <s v="ORD1619"/>
    <s v="25-09-2025"/>
    <s v="Neha Singh"/>
    <x v="1"/>
    <s v="West Bengal"/>
    <x v="1"/>
    <s v="Bookcase"/>
    <s v="Wooden Bookcase"/>
    <n v="2808"/>
    <n v="5"/>
    <s v="5%"/>
    <n v="644.70000000000005"/>
  </r>
  <r>
    <s v="ORD1620"/>
    <s v="12-09-2025"/>
    <s v="Karan Patel"/>
    <x v="1"/>
    <s v="Odisha"/>
    <x v="0"/>
    <s v="Pen"/>
    <s v="Gel Pen Set"/>
    <n v="618"/>
    <n v="7"/>
    <s v="20%"/>
    <n v="155.19"/>
  </r>
  <r>
    <s v="ORD1621"/>
    <s v="27-05-2025"/>
    <s v="Rahul Sharma"/>
    <x v="2"/>
    <s v="Karnataka"/>
    <x v="0"/>
    <s v="Binder"/>
    <s v="A4 Binder"/>
    <n v="29454"/>
    <n v="8"/>
    <s v="15%"/>
    <n v="6630.95"/>
  </r>
  <r>
    <s v="ORD1622"/>
    <s v="19-05-2025"/>
    <s v="Neha Singh"/>
    <x v="1"/>
    <s v="West Bengal"/>
    <x v="2"/>
    <s v="Laptop"/>
    <s v="HP Pavilion"/>
    <n v="53972"/>
    <n v="3"/>
    <s v="15%"/>
    <n v="12202.26"/>
  </r>
  <r>
    <s v="ORD1623"/>
    <s v="05-03-2025"/>
    <s v="Neha Singh"/>
    <x v="1"/>
    <s v="West Bengal"/>
    <x v="1"/>
    <s v="Table"/>
    <s v="Study Table"/>
    <n v="75184"/>
    <n v="5"/>
    <s v="15%"/>
    <n v="19478.46"/>
  </r>
  <r>
    <s v="ORD1624"/>
    <s v="30-10-2025"/>
    <s v="Neha Singh"/>
    <x v="0"/>
    <s v="Haryana"/>
    <x v="1"/>
    <s v="Bookcase"/>
    <s v="Wooden Bookcase"/>
    <n v="78828"/>
    <n v="6"/>
    <s v="15%"/>
    <n v="12042.79"/>
  </r>
  <r>
    <s v="ORD1625"/>
    <s v="16-06-2025"/>
    <s v="Amit Kumar"/>
    <x v="3"/>
    <s v="Maharashtra"/>
    <x v="2"/>
    <s v="Mobile"/>
    <s v="Samsung Galaxy"/>
    <n v="47497"/>
    <n v="9"/>
    <s v="0%"/>
    <n v="7523.26"/>
  </r>
  <r>
    <s v="ORD1626"/>
    <s v="09-10-2025"/>
    <s v="Anjali Mehta"/>
    <x v="2"/>
    <s v="Tamil Nadu"/>
    <x v="2"/>
    <s v="Laptop"/>
    <s v="HP Pavilion"/>
    <n v="70412"/>
    <n v="3"/>
    <s v="20%"/>
    <n v="11054.15"/>
  </r>
  <r>
    <s v="ORD1627"/>
    <s v="09-10-2025"/>
    <s v="Priya Verma"/>
    <x v="3"/>
    <s v="Gujarat"/>
    <x v="1"/>
    <s v="Chair"/>
    <s v="Office Chair"/>
    <n v="39641"/>
    <n v="7"/>
    <s v="0%"/>
    <n v="9325.51"/>
  </r>
  <r>
    <s v="ORD1628"/>
    <s v="23-08-2025"/>
    <s v="Rohit Gupta"/>
    <x v="0"/>
    <s v="Punjab"/>
    <x v="0"/>
    <s v="Pen"/>
    <s v="Gel Pen Set"/>
    <n v="5778"/>
    <n v="1"/>
    <s v="5%"/>
    <n v="601.27"/>
  </r>
  <r>
    <s v="ORD1629"/>
    <s v="12-09-2025"/>
    <s v="Rohit Gupta"/>
    <x v="3"/>
    <s v="Gujarat"/>
    <x v="0"/>
    <s v="Paper"/>
    <s v="A4 Paper Pack"/>
    <n v="45540"/>
    <n v="4"/>
    <s v="10%"/>
    <n v="11488.21"/>
  </r>
  <r>
    <s v="ORD1630"/>
    <s v="11-10-2025"/>
    <s v="Priya Verma"/>
    <x v="1"/>
    <s v="Odisha"/>
    <x v="1"/>
    <s v="Bookcase"/>
    <s v="Wooden Bookcase"/>
    <n v="34763"/>
    <n v="1"/>
    <s v="20%"/>
    <n v="2624.62"/>
  </r>
  <r>
    <s v="ORD1631"/>
    <s v="24-02-2025"/>
    <s v="Rahul Sharma"/>
    <x v="3"/>
    <s v="Gujarat"/>
    <x v="1"/>
    <s v="Bookcase"/>
    <s v="Wooden Bookcase"/>
    <n v="53810"/>
    <n v="6"/>
    <s v="10%"/>
    <n v="11538.38"/>
  </r>
  <r>
    <s v="ORD1632"/>
    <s v="30-09-2025"/>
    <s v="Amit Kumar"/>
    <x v="3"/>
    <s v="Rajasthan"/>
    <x v="2"/>
    <s v="Accessories"/>
    <s v="Wireless Mouse"/>
    <n v="28569"/>
    <n v="6"/>
    <s v="20%"/>
    <n v="3996.09"/>
  </r>
  <r>
    <s v="ORD1633"/>
    <s v="20-03-2025"/>
    <s v="Rahul Sharma"/>
    <x v="3"/>
    <s v="Gujarat"/>
    <x v="2"/>
    <s v="Laptop"/>
    <s v="HP Pavilion"/>
    <n v="10439"/>
    <n v="5"/>
    <s v="5%"/>
    <n v="1764.05"/>
  </r>
  <r>
    <s v="ORD1634"/>
    <s v="12-12-2025"/>
    <s v="Sneha Joshi"/>
    <x v="0"/>
    <s v="Delhi"/>
    <x v="2"/>
    <s v="Laptop"/>
    <s v="HP Pavilion"/>
    <n v="51222"/>
    <n v="6"/>
    <s v="0%"/>
    <n v="13672.52"/>
  </r>
  <r>
    <s v="ORD1635"/>
    <s v="11-01-2025"/>
    <s v="Simran Kaur"/>
    <x v="0"/>
    <s v="Delhi"/>
    <x v="1"/>
    <s v="Bookcase"/>
    <s v="Wooden Bookcase"/>
    <n v="54590"/>
    <n v="9"/>
    <s v="10%"/>
    <n v="10352.26"/>
  </r>
  <r>
    <s v="ORD1636"/>
    <s v="27-04-2025"/>
    <s v="Sneha Joshi"/>
    <x v="0"/>
    <s v="Haryana"/>
    <x v="2"/>
    <s v="Mobile"/>
    <s v="Samsung Galaxy"/>
    <n v="16922"/>
    <n v="9"/>
    <s v="5%"/>
    <n v="2773.8"/>
  </r>
  <r>
    <s v="ORD1637"/>
    <s v="21-08-2025"/>
    <s v="Priya Verma"/>
    <x v="1"/>
    <s v="West Bengal"/>
    <x v="0"/>
    <s v="Binder"/>
    <s v="A4 Binder"/>
    <n v="72186"/>
    <n v="6"/>
    <s v="15%"/>
    <n v="15324.02"/>
  </r>
  <r>
    <s v="ORD1638"/>
    <s v="28-10-2025"/>
    <s v="Neha Singh"/>
    <x v="3"/>
    <s v="Maharashtra"/>
    <x v="0"/>
    <s v="Paper"/>
    <s v="A4 Paper Pack"/>
    <n v="62163"/>
    <n v="8"/>
    <s v="0%"/>
    <n v="13768.4"/>
  </r>
  <r>
    <s v="ORD1639"/>
    <s v="05-06-2025"/>
    <s v="Amit Kumar"/>
    <x v="0"/>
    <s v="Delhi"/>
    <x v="1"/>
    <s v="Table"/>
    <s v="Study Table"/>
    <n v="77966"/>
    <n v="1"/>
    <s v="5%"/>
    <n v="12550.5"/>
  </r>
  <r>
    <s v="ORD1640"/>
    <s v="06-03-2025"/>
    <s v="Rohit Gupta"/>
    <x v="3"/>
    <s v="Rajasthan"/>
    <x v="0"/>
    <s v="Pen"/>
    <s v="Gel Pen Set"/>
    <n v="10099"/>
    <n v="9"/>
    <s v="15%"/>
    <n v="941.37"/>
  </r>
  <r>
    <s v="ORD1641"/>
    <s v="21-03-2025"/>
    <s v="Rahul Sharma"/>
    <x v="2"/>
    <s v="Tamil Nadu"/>
    <x v="1"/>
    <s v="Chair"/>
    <s v="Office Chair"/>
    <n v="48144"/>
    <n v="3"/>
    <s v="20%"/>
    <n v="5120.8999999999996"/>
  </r>
  <r>
    <s v="ORD1642"/>
    <s v="04-03-2025"/>
    <s v="Neha Singh"/>
    <x v="1"/>
    <s v="Odisha"/>
    <x v="2"/>
    <s v="Laptop"/>
    <s v="HP Pavilion"/>
    <n v="20614"/>
    <n v="3"/>
    <s v="0%"/>
    <n v="4674.57"/>
  </r>
  <r>
    <s v="ORD1643"/>
    <s v="27-05-2025"/>
    <s v="Arjun Rana"/>
    <x v="2"/>
    <s v="Kerala"/>
    <x v="2"/>
    <s v="Mobile"/>
    <s v="Samsung Galaxy"/>
    <n v="62617"/>
    <n v="2"/>
    <s v="5%"/>
    <n v="15035.34"/>
  </r>
  <r>
    <s v="ORD1644"/>
    <s v="26-10-2025"/>
    <s v="Priya Verma"/>
    <x v="2"/>
    <s v="Kerala"/>
    <x v="0"/>
    <s v="Pen"/>
    <s v="Gel Pen Set"/>
    <n v="592"/>
    <n v="5"/>
    <s v="0%"/>
    <n v="97.65"/>
  </r>
  <r>
    <s v="ORD1645"/>
    <s v="12-12-2025"/>
    <s v="Karan Patel"/>
    <x v="0"/>
    <s v="Delhi"/>
    <x v="0"/>
    <s v="Paper"/>
    <s v="A4 Paper Pack"/>
    <n v="4880"/>
    <n v="10"/>
    <s v="0%"/>
    <n v="1336.08"/>
  </r>
  <r>
    <s v="ORD1646"/>
    <s v="01-05-2025"/>
    <s v="Sneha Joshi"/>
    <x v="0"/>
    <s v="Punjab"/>
    <x v="0"/>
    <s v="Binder"/>
    <s v="A4 Binder"/>
    <n v="7500"/>
    <n v="7"/>
    <s v="10%"/>
    <n v="872.61"/>
  </r>
  <r>
    <s v="ORD1647"/>
    <s v="16-04-2025"/>
    <s v="Karan Patel"/>
    <x v="0"/>
    <s v="Haryana"/>
    <x v="0"/>
    <s v="Paper"/>
    <s v="A4 Paper Pack"/>
    <n v="67393"/>
    <n v="5"/>
    <s v="10%"/>
    <n v="11293.19"/>
  </r>
  <r>
    <s v="ORD1648"/>
    <s v="29-06-2025"/>
    <s v="Rahul Sharma"/>
    <x v="3"/>
    <s v="Maharashtra"/>
    <x v="1"/>
    <s v="Bookcase"/>
    <s v="Wooden Bookcase"/>
    <n v="45618"/>
    <n v="5"/>
    <s v="5%"/>
    <n v="8375.33"/>
  </r>
  <r>
    <s v="ORD1649"/>
    <s v="16-03-2025"/>
    <s v="Priya Verma"/>
    <x v="3"/>
    <s v="Gujarat"/>
    <x v="2"/>
    <s v="Laptop"/>
    <s v="HP Pavilion"/>
    <n v="937"/>
    <n v="4"/>
    <s v="15%"/>
    <n v="207.82"/>
  </r>
  <r>
    <s v="ORD1650"/>
    <s v="18-06-2025"/>
    <s v="Neha Singh"/>
    <x v="3"/>
    <s v="Gujarat"/>
    <x v="0"/>
    <s v="Binder"/>
    <s v="A4 Binder"/>
    <n v="31746"/>
    <n v="2"/>
    <s v="15%"/>
    <n v="6368.28"/>
  </r>
  <r>
    <s v="ORD1651"/>
    <s v="12-04-2025"/>
    <s v="Priya Verma"/>
    <x v="3"/>
    <s v="Gujarat"/>
    <x v="0"/>
    <s v="Pen"/>
    <s v="Gel Pen Set"/>
    <n v="10443"/>
    <n v="6"/>
    <s v="0%"/>
    <n v="2900.27"/>
  </r>
  <r>
    <s v="ORD1652"/>
    <s v="10-10-2025"/>
    <s v="Karan Patel"/>
    <x v="2"/>
    <s v="Kerala"/>
    <x v="0"/>
    <s v="Pen"/>
    <s v="Gel Pen Set"/>
    <n v="13448"/>
    <n v="3"/>
    <s v="20%"/>
    <n v="2882.81"/>
  </r>
  <r>
    <s v="ORD1653"/>
    <s v="21-05-2025"/>
    <s v="Karan Patel"/>
    <x v="3"/>
    <s v="Maharashtra"/>
    <x v="2"/>
    <s v="Laptop"/>
    <s v="HP Pavilion"/>
    <n v="62249"/>
    <n v="9"/>
    <s v="20%"/>
    <n v="13065.05"/>
  </r>
  <r>
    <s v="ORD1654"/>
    <s v="16-05-2025"/>
    <s v="Rohit Gupta"/>
    <x v="3"/>
    <s v="Rajasthan"/>
    <x v="2"/>
    <s v="Mobile"/>
    <s v="Samsung Galaxy"/>
    <n v="5209"/>
    <n v="10"/>
    <s v="15%"/>
    <n v="1070.3399999999999"/>
  </r>
  <r>
    <s v="ORD1655"/>
    <s v="05-06-2025"/>
    <s v="Simran Kaur"/>
    <x v="1"/>
    <s v="Bihar"/>
    <x v="1"/>
    <s v="Chair"/>
    <s v="Office Chair"/>
    <n v="26372"/>
    <n v="2"/>
    <s v="10%"/>
    <n v="1962.61"/>
  </r>
  <r>
    <s v="ORD1656"/>
    <s v="02-01-2025"/>
    <s v="Priya Verma"/>
    <x v="1"/>
    <s v="Bihar"/>
    <x v="2"/>
    <s v="Laptop"/>
    <s v="HP Pavilion"/>
    <n v="39829"/>
    <n v="6"/>
    <s v="20%"/>
    <n v="8152.94"/>
  </r>
  <r>
    <s v="ORD1657"/>
    <s v="13-03-2025"/>
    <s v="Amit Kumar"/>
    <x v="2"/>
    <s v="Karnataka"/>
    <x v="2"/>
    <s v="Laptop"/>
    <s v="HP Pavilion"/>
    <n v="52655"/>
    <n v="5"/>
    <s v="10%"/>
    <n v="5126.95"/>
  </r>
  <r>
    <s v="ORD1658"/>
    <s v="15-03-2025"/>
    <s v="Karan Patel"/>
    <x v="0"/>
    <s v="Delhi"/>
    <x v="2"/>
    <s v="Mobile"/>
    <s v="Samsung Galaxy"/>
    <n v="73560"/>
    <n v="6"/>
    <s v="10%"/>
    <n v="6223.76"/>
  </r>
  <r>
    <s v="ORD1659"/>
    <s v="18-11-2025"/>
    <s v="Simran Kaur"/>
    <x v="1"/>
    <s v="Odisha"/>
    <x v="1"/>
    <s v="Chair"/>
    <s v="Office Chair"/>
    <n v="73646"/>
    <n v="10"/>
    <s v="15%"/>
    <n v="8035.48"/>
  </r>
  <r>
    <s v="ORD1660"/>
    <s v="11-01-2025"/>
    <s v="Karan Patel"/>
    <x v="1"/>
    <s v="Odisha"/>
    <x v="0"/>
    <s v="Pen"/>
    <s v="Gel Pen Set"/>
    <n v="16665"/>
    <n v="7"/>
    <s v="15%"/>
    <n v="1669.46"/>
  </r>
  <r>
    <s v="ORD1661"/>
    <s v="03-04-2025"/>
    <s v="Amit Kumar"/>
    <x v="1"/>
    <s v="Odisha"/>
    <x v="0"/>
    <s v="Paper"/>
    <s v="A4 Paper Pack"/>
    <n v="79994"/>
    <n v="4"/>
    <s v="5%"/>
    <n v="14194.71"/>
  </r>
  <r>
    <s v="ORD1662"/>
    <s v="10-12-2025"/>
    <s v="Priya Verma"/>
    <x v="3"/>
    <s v="Gujarat"/>
    <x v="0"/>
    <s v="Binder"/>
    <s v="A4 Binder"/>
    <n v="10412"/>
    <n v="3"/>
    <s v="10%"/>
    <n v="1819.74"/>
  </r>
  <r>
    <s v="ORD1663"/>
    <s v="25-02-2025"/>
    <s v="Arjun Rana"/>
    <x v="0"/>
    <s v="Haryana"/>
    <x v="2"/>
    <s v="Accessories"/>
    <s v="Wireless Mouse"/>
    <n v="6594"/>
    <n v="4"/>
    <s v="20%"/>
    <n v="1346.57"/>
  </r>
  <r>
    <s v="ORD1664"/>
    <s v="12-01-2025"/>
    <s v="Arjun Rana"/>
    <x v="0"/>
    <s v="Punjab"/>
    <x v="2"/>
    <s v="Laptop"/>
    <s v="HP Pavilion"/>
    <n v="70351"/>
    <n v="9"/>
    <s v="20%"/>
    <n v="18239.12"/>
  </r>
  <r>
    <s v="ORD1665"/>
    <s v="11-02-2025"/>
    <s v="Sneha Joshi"/>
    <x v="2"/>
    <s v="Kerala"/>
    <x v="1"/>
    <s v="Chair"/>
    <s v="Office Chair"/>
    <n v="79572"/>
    <n v="1"/>
    <s v="0%"/>
    <n v="6990.34"/>
  </r>
  <r>
    <s v="ORD1666"/>
    <s v="21-09-2025"/>
    <s v="Anjali Mehta"/>
    <x v="3"/>
    <s v="Gujarat"/>
    <x v="2"/>
    <s v="Laptop"/>
    <s v="HP Pavilion"/>
    <n v="3961"/>
    <n v="6"/>
    <s v="5%"/>
    <n v="418.95"/>
  </r>
  <r>
    <s v="ORD1667"/>
    <s v="30-01-2025"/>
    <s v="Amit Kumar"/>
    <x v="1"/>
    <s v="Bihar"/>
    <x v="2"/>
    <s v="Mobile"/>
    <s v="Samsung Galaxy"/>
    <n v="48745"/>
    <n v="8"/>
    <s v="15%"/>
    <n v="8096.51"/>
  </r>
  <r>
    <s v="ORD1668"/>
    <s v="09-05-2025"/>
    <s v="Sneha Joshi"/>
    <x v="0"/>
    <s v="Haryana"/>
    <x v="0"/>
    <s v="Pen"/>
    <s v="Gel Pen Set"/>
    <n v="59539"/>
    <n v="4"/>
    <s v="5%"/>
    <n v="6543.09"/>
  </r>
  <r>
    <s v="ORD1669"/>
    <s v="09-09-2025"/>
    <s v="Rohit Gupta"/>
    <x v="0"/>
    <s v="Punjab"/>
    <x v="0"/>
    <s v="Pen"/>
    <s v="Gel Pen Set"/>
    <n v="13424"/>
    <n v="4"/>
    <s v="5%"/>
    <n v="2701.39"/>
  </r>
  <r>
    <s v="ORD1670"/>
    <s v="19-07-2025"/>
    <s v="Neha Singh"/>
    <x v="3"/>
    <s v="Gujarat"/>
    <x v="0"/>
    <s v="Pen"/>
    <s v="Gel Pen Set"/>
    <n v="24243"/>
    <n v="4"/>
    <s v="15%"/>
    <n v="6422.79"/>
  </r>
  <r>
    <s v="ORD1671"/>
    <s v="06-06-2025"/>
    <s v="Karan Patel"/>
    <x v="0"/>
    <s v="Delhi"/>
    <x v="2"/>
    <s v="Mobile"/>
    <s v="Samsung Galaxy"/>
    <n v="52412"/>
    <n v="8"/>
    <s v="10%"/>
    <n v="7081.6"/>
  </r>
  <r>
    <s v="ORD1672"/>
    <s v="18-03-2025"/>
    <s v="Neha Singh"/>
    <x v="0"/>
    <s v="Punjab"/>
    <x v="1"/>
    <s v="Bookcase"/>
    <s v="Wooden Bookcase"/>
    <n v="58810"/>
    <n v="2"/>
    <s v="10%"/>
    <n v="9630.1"/>
  </r>
  <r>
    <s v="ORD1673"/>
    <s v="02-02-2025"/>
    <s v="Karan Patel"/>
    <x v="2"/>
    <s v="Tamil Nadu"/>
    <x v="1"/>
    <s v="Table"/>
    <s v="Study Table"/>
    <n v="68747"/>
    <n v="9"/>
    <s v="20%"/>
    <n v="17513.580000000002"/>
  </r>
  <r>
    <s v="ORD1674"/>
    <s v="16-08-2025"/>
    <s v="Arjun Rana"/>
    <x v="3"/>
    <s v="Rajasthan"/>
    <x v="1"/>
    <s v="Bookcase"/>
    <s v="Wooden Bookcase"/>
    <n v="46022"/>
    <n v="3"/>
    <s v="20%"/>
    <n v="3475.55"/>
  </r>
  <r>
    <s v="ORD1675"/>
    <s v="24-07-2025"/>
    <s v="Priya Verma"/>
    <x v="3"/>
    <s v="Maharashtra"/>
    <x v="1"/>
    <s v="Chair"/>
    <s v="Office Chair"/>
    <n v="63328"/>
    <n v="3"/>
    <s v="20%"/>
    <n v="10209.709999999999"/>
  </r>
  <r>
    <s v="ORD1676"/>
    <s v="03-06-2025"/>
    <s v="Arjun Rana"/>
    <x v="1"/>
    <s v="Bihar"/>
    <x v="1"/>
    <s v="Chair"/>
    <s v="Office Chair"/>
    <n v="28853"/>
    <n v="1"/>
    <s v="15%"/>
    <n v="4233.03"/>
  </r>
  <r>
    <s v="ORD1677"/>
    <s v="10-01-2025"/>
    <s v="Anjali Mehta"/>
    <x v="2"/>
    <s v="Tamil Nadu"/>
    <x v="1"/>
    <s v="Chair"/>
    <s v="Office Chair"/>
    <n v="59428"/>
    <n v="4"/>
    <s v="15%"/>
    <n v="15090.98"/>
  </r>
  <r>
    <s v="ORD1678"/>
    <s v="07-06-2025"/>
    <s v="Karan Patel"/>
    <x v="1"/>
    <s v="Bihar"/>
    <x v="0"/>
    <s v="Binder"/>
    <s v="A4 Binder"/>
    <n v="45958"/>
    <n v="3"/>
    <s v="5%"/>
    <n v="12036.92"/>
  </r>
  <r>
    <s v="ORD1679"/>
    <s v="07-06-2025"/>
    <s v="Rahul Sharma"/>
    <x v="1"/>
    <s v="Bihar"/>
    <x v="1"/>
    <s v="Chair"/>
    <s v="Office Chair"/>
    <n v="16769"/>
    <n v="6"/>
    <s v="0%"/>
    <n v="4157.82"/>
  </r>
  <r>
    <s v="ORD1680"/>
    <s v="04-11-2025"/>
    <s v="Karan Patel"/>
    <x v="3"/>
    <s v="Gujarat"/>
    <x v="0"/>
    <s v="Binder"/>
    <s v="A4 Binder"/>
    <n v="35470"/>
    <n v="6"/>
    <s v="15%"/>
    <n v="2615.2199999999998"/>
  </r>
  <r>
    <s v="ORD1681"/>
    <s v="27-06-2025"/>
    <s v="Priya Verma"/>
    <x v="2"/>
    <s v="Tamil Nadu"/>
    <x v="0"/>
    <s v="Paper"/>
    <s v="A4 Paper Pack"/>
    <n v="77643"/>
    <n v="7"/>
    <s v="20%"/>
    <n v="16579.900000000001"/>
  </r>
  <r>
    <s v="ORD1682"/>
    <s v="24-01-2025"/>
    <s v="Rahul Sharma"/>
    <x v="0"/>
    <s v="Delhi"/>
    <x v="1"/>
    <s v="Table"/>
    <s v="Study Table"/>
    <n v="33478"/>
    <n v="5"/>
    <s v="5%"/>
    <n v="4379.96"/>
  </r>
  <r>
    <s v="ORD1683"/>
    <s v="20-02-2025"/>
    <s v="Sneha Joshi"/>
    <x v="3"/>
    <s v="Gujarat"/>
    <x v="0"/>
    <s v="Pen"/>
    <s v="Gel Pen Set"/>
    <n v="48245"/>
    <n v="4"/>
    <s v="5%"/>
    <n v="12306.76"/>
  </r>
  <r>
    <s v="ORD1684"/>
    <s v="10-02-2025"/>
    <s v="Rahul Sharma"/>
    <x v="0"/>
    <s v="Punjab"/>
    <x v="0"/>
    <s v="Pen"/>
    <s v="Gel Pen Set"/>
    <n v="72361"/>
    <n v="4"/>
    <s v="5%"/>
    <n v="16276.88"/>
  </r>
  <r>
    <s v="ORD1685"/>
    <s v="28-10-2025"/>
    <s v="Sneha Joshi"/>
    <x v="3"/>
    <s v="Gujarat"/>
    <x v="1"/>
    <s v="Bookcase"/>
    <s v="Wooden Bookcase"/>
    <n v="64973"/>
    <n v="9"/>
    <s v="15%"/>
    <n v="11847.16"/>
  </r>
  <r>
    <s v="ORD1686"/>
    <s v="14-11-2025"/>
    <s v="Amit Kumar"/>
    <x v="1"/>
    <s v="West Bengal"/>
    <x v="0"/>
    <s v="Pen"/>
    <s v="Gel Pen Set"/>
    <n v="8200"/>
    <n v="3"/>
    <s v="20%"/>
    <n v="1573.28"/>
  </r>
  <r>
    <s v="ORD1687"/>
    <s v="18-02-2025"/>
    <s v="Rahul Sharma"/>
    <x v="3"/>
    <s v="Rajasthan"/>
    <x v="0"/>
    <s v="Paper"/>
    <s v="A4 Paper Pack"/>
    <n v="63920"/>
    <n v="1"/>
    <s v="5%"/>
    <n v="5226.58"/>
  </r>
  <r>
    <s v="ORD1688"/>
    <s v="27-03-2025"/>
    <s v="Karan Patel"/>
    <x v="0"/>
    <s v="Delhi"/>
    <x v="1"/>
    <s v="Bookcase"/>
    <s v="Wooden Bookcase"/>
    <n v="69256"/>
    <n v="1"/>
    <s v="20%"/>
    <n v="17365.060000000001"/>
  </r>
  <r>
    <s v="ORD1689"/>
    <s v="22-11-2025"/>
    <s v="Priya Verma"/>
    <x v="3"/>
    <s v="Maharashtra"/>
    <x v="2"/>
    <s v="Mobile"/>
    <s v="Samsung Galaxy"/>
    <n v="58327"/>
    <n v="10"/>
    <s v="20%"/>
    <n v="11139.2"/>
  </r>
  <r>
    <s v="ORD1690"/>
    <s v="22-02-2025"/>
    <s v="Karan Patel"/>
    <x v="1"/>
    <s v="Bihar"/>
    <x v="0"/>
    <s v="Paper"/>
    <s v="A4 Paper Pack"/>
    <n v="69175"/>
    <n v="6"/>
    <s v="15%"/>
    <n v="5515.47"/>
  </r>
  <r>
    <s v="ORD1691"/>
    <s v="27-11-2025"/>
    <s v="Rohit Gupta"/>
    <x v="3"/>
    <s v="Gujarat"/>
    <x v="1"/>
    <s v="Chair"/>
    <s v="Office Chair"/>
    <n v="51275"/>
    <n v="6"/>
    <s v="15%"/>
    <n v="11106.99"/>
  </r>
  <r>
    <s v="ORD1692"/>
    <s v="25-08-2025"/>
    <s v="Arjun Rana"/>
    <x v="0"/>
    <s v="Haryana"/>
    <x v="0"/>
    <s v="Paper"/>
    <s v="A4 Paper Pack"/>
    <n v="39761"/>
    <n v="7"/>
    <s v="15%"/>
    <n v="4608.33"/>
  </r>
  <r>
    <s v="ORD1693"/>
    <s v="23-09-2025"/>
    <s v="Amit Kumar"/>
    <x v="2"/>
    <s v="Karnataka"/>
    <x v="0"/>
    <s v="Binder"/>
    <s v="A4 Binder"/>
    <n v="34085"/>
    <n v="2"/>
    <s v="10%"/>
    <n v="3212.45"/>
  </r>
  <r>
    <s v="ORD1694"/>
    <s v="22-03-2025"/>
    <s v="Rahul Sharma"/>
    <x v="1"/>
    <s v="Odisha"/>
    <x v="0"/>
    <s v="Binder"/>
    <s v="A4 Binder"/>
    <n v="30275"/>
    <n v="2"/>
    <s v="10%"/>
    <n v="3714.92"/>
  </r>
  <r>
    <s v="ORD1695"/>
    <s v="31-01-2025"/>
    <s v="Priya Verma"/>
    <x v="2"/>
    <s v="Tamil Nadu"/>
    <x v="0"/>
    <s v="Paper"/>
    <s v="A4 Paper Pack"/>
    <n v="62141"/>
    <n v="3"/>
    <s v="10%"/>
    <n v="14225.93"/>
  </r>
  <r>
    <s v="ORD1696"/>
    <s v="08-01-2025"/>
    <s v="Neha Singh"/>
    <x v="0"/>
    <s v="Punjab"/>
    <x v="0"/>
    <s v="Binder"/>
    <s v="A4 Binder"/>
    <n v="69791"/>
    <n v="9"/>
    <s v="5%"/>
    <n v="13956.67"/>
  </r>
  <r>
    <s v="ORD1697"/>
    <s v="12-05-2025"/>
    <s v="Neha Singh"/>
    <x v="2"/>
    <s v="Kerala"/>
    <x v="1"/>
    <s v="Chair"/>
    <s v="Office Chair"/>
    <n v="16641"/>
    <n v="1"/>
    <s v="5%"/>
    <n v="1735.95"/>
  </r>
  <r>
    <s v="ORD1698"/>
    <s v="01-04-2025"/>
    <s v="Simran Kaur"/>
    <x v="0"/>
    <s v="Delhi"/>
    <x v="1"/>
    <s v="Bookcase"/>
    <s v="Wooden Bookcase"/>
    <n v="26135"/>
    <n v="4"/>
    <s v="15%"/>
    <n v="5520.59"/>
  </r>
  <r>
    <s v="ORD1699"/>
    <s v="22-08-2025"/>
    <s v="Rahul Sharma"/>
    <x v="3"/>
    <s v="Maharashtra"/>
    <x v="2"/>
    <s v="Laptop"/>
    <s v="HP Pavilion"/>
    <n v="70227"/>
    <n v="5"/>
    <s v="20%"/>
    <n v="17682.36"/>
  </r>
  <r>
    <s v="ORD1700"/>
    <s v="07-06-2025"/>
    <s v="Rahul Sharma"/>
    <x v="1"/>
    <s v="Odisha"/>
    <x v="0"/>
    <s v="Paper"/>
    <s v="A4 Paper Pack"/>
    <n v="35508"/>
    <n v="8"/>
    <s v="5%"/>
    <n v="2970.14"/>
  </r>
  <r>
    <s v="ORD1701"/>
    <s v="26-09-2025"/>
    <s v="Arjun Rana"/>
    <x v="1"/>
    <s v="Odisha"/>
    <x v="1"/>
    <s v="Chair"/>
    <s v="Office Chair"/>
    <n v="63755"/>
    <n v="3"/>
    <s v="5%"/>
    <n v="7795.17"/>
  </r>
  <r>
    <s v="ORD1702"/>
    <s v="07-09-2025"/>
    <s v="Rahul Sharma"/>
    <x v="1"/>
    <s v="Bihar"/>
    <x v="2"/>
    <s v="Laptop"/>
    <s v="HP Pavilion"/>
    <n v="60871"/>
    <n v="7"/>
    <s v="0%"/>
    <n v="11736.69"/>
  </r>
  <r>
    <s v="ORD1703"/>
    <s v="06-09-2025"/>
    <s v="Karan Patel"/>
    <x v="3"/>
    <s v="Maharashtra"/>
    <x v="2"/>
    <s v="Accessories"/>
    <s v="Wireless Mouse"/>
    <n v="60780"/>
    <n v="2"/>
    <s v="0%"/>
    <n v="9954.91"/>
  </r>
  <r>
    <s v="ORD1704"/>
    <s v="08-12-2025"/>
    <s v="Simran Kaur"/>
    <x v="0"/>
    <s v="Haryana"/>
    <x v="1"/>
    <s v="Table"/>
    <s v="Study Table"/>
    <n v="50066"/>
    <n v="5"/>
    <s v="0%"/>
    <n v="5544.86"/>
  </r>
  <r>
    <s v="ORD1705"/>
    <s v="22-04-2025"/>
    <s v="Arjun Rana"/>
    <x v="1"/>
    <s v="West Bengal"/>
    <x v="1"/>
    <s v="Table"/>
    <s v="Study Table"/>
    <n v="27239"/>
    <n v="5"/>
    <s v="10%"/>
    <n v="5480.4"/>
  </r>
  <r>
    <s v="ORD1706"/>
    <s v="13-09-2025"/>
    <s v="Karan Patel"/>
    <x v="3"/>
    <s v="Rajasthan"/>
    <x v="2"/>
    <s v="Mobile"/>
    <s v="Samsung Galaxy"/>
    <n v="16396"/>
    <n v="8"/>
    <s v="10%"/>
    <n v="1487.92"/>
  </r>
  <r>
    <s v="ORD1707"/>
    <s v="25-11-2025"/>
    <s v="Sneha Joshi"/>
    <x v="1"/>
    <s v="West Bengal"/>
    <x v="1"/>
    <s v="Bookcase"/>
    <s v="Wooden Bookcase"/>
    <n v="71073"/>
    <n v="9"/>
    <s v="0%"/>
    <n v="7876.42"/>
  </r>
  <r>
    <s v="ORD1708"/>
    <s v="18-01-2025"/>
    <s v="Priya Verma"/>
    <x v="1"/>
    <s v="West Bengal"/>
    <x v="0"/>
    <s v="Paper"/>
    <s v="A4 Paper Pack"/>
    <n v="10029"/>
    <n v="10"/>
    <s v="10%"/>
    <n v="966.85"/>
  </r>
  <r>
    <s v="ORD1709"/>
    <s v="08-08-2025"/>
    <s v="Simran Kaur"/>
    <x v="2"/>
    <s v="Karnataka"/>
    <x v="2"/>
    <s v="Mobile"/>
    <s v="Samsung Galaxy"/>
    <n v="3441"/>
    <n v="9"/>
    <s v="10%"/>
    <n v="522.24"/>
  </r>
  <r>
    <s v="ORD1710"/>
    <s v="23-01-2025"/>
    <s v="Simran Kaur"/>
    <x v="0"/>
    <s v="Haryana"/>
    <x v="1"/>
    <s v="Chair"/>
    <s v="Office Chair"/>
    <n v="60576"/>
    <n v="7"/>
    <s v="20%"/>
    <n v="8893.0300000000007"/>
  </r>
  <r>
    <s v="ORD1711"/>
    <s v="19-02-2025"/>
    <s v="Sneha Joshi"/>
    <x v="1"/>
    <s v="Bihar"/>
    <x v="2"/>
    <s v="Laptop"/>
    <s v="HP Pavilion"/>
    <n v="74075"/>
    <n v="7"/>
    <s v="10%"/>
    <n v="7195.05"/>
  </r>
  <r>
    <s v="ORD1712"/>
    <s v="17-03-2025"/>
    <s v="Priya Verma"/>
    <x v="0"/>
    <s v="Haryana"/>
    <x v="1"/>
    <s v="Chair"/>
    <s v="Office Chair"/>
    <n v="58495"/>
    <n v="5"/>
    <s v="20%"/>
    <n v="12137.15"/>
  </r>
  <r>
    <s v="ORD1713"/>
    <s v="10-11-2025"/>
    <s v="Rahul Sharma"/>
    <x v="2"/>
    <s v="Kerala"/>
    <x v="2"/>
    <s v="Laptop"/>
    <s v="HP Pavilion"/>
    <n v="7673"/>
    <n v="3"/>
    <s v="20%"/>
    <n v="1283.67"/>
  </r>
  <r>
    <s v="ORD1714"/>
    <s v="21-02-2025"/>
    <s v="Amit Kumar"/>
    <x v="0"/>
    <s v="Delhi"/>
    <x v="1"/>
    <s v="Bookcase"/>
    <s v="Wooden Bookcase"/>
    <n v="68819"/>
    <n v="7"/>
    <s v="20%"/>
    <n v="15994.42"/>
  </r>
  <r>
    <s v="ORD1715"/>
    <s v="20-05-2025"/>
    <s v="Karan Patel"/>
    <x v="1"/>
    <s v="West Bengal"/>
    <x v="2"/>
    <s v="Laptop"/>
    <s v="HP Pavilion"/>
    <n v="15139"/>
    <n v="10"/>
    <s v="5%"/>
    <n v="2002.12"/>
  </r>
  <r>
    <s v="ORD1716"/>
    <s v="19-05-2025"/>
    <s v="Simran Kaur"/>
    <x v="3"/>
    <s v="Gujarat"/>
    <x v="1"/>
    <s v="Chair"/>
    <s v="Office Chair"/>
    <n v="26676"/>
    <n v="5"/>
    <s v="15%"/>
    <n v="6194.65"/>
  </r>
  <r>
    <s v="ORD1717"/>
    <s v="21-07-2025"/>
    <s v="Rohit Gupta"/>
    <x v="1"/>
    <s v="Bihar"/>
    <x v="2"/>
    <s v="Laptop"/>
    <s v="HP Pavilion"/>
    <n v="51027"/>
    <n v="5"/>
    <s v="20%"/>
    <n v="11633.69"/>
  </r>
  <r>
    <s v="ORD1718"/>
    <s v="03-01-2025"/>
    <s v="Priya Verma"/>
    <x v="2"/>
    <s v="Karnataka"/>
    <x v="1"/>
    <s v="Chair"/>
    <s v="Office Chair"/>
    <n v="47347"/>
    <n v="3"/>
    <s v="20%"/>
    <n v="7480.51"/>
  </r>
  <r>
    <s v="ORD1719"/>
    <s v="11-01-2025"/>
    <s v="Arjun Rana"/>
    <x v="0"/>
    <s v="Punjab"/>
    <x v="1"/>
    <s v="Bookcase"/>
    <s v="Wooden Bookcase"/>
    <n v="6004"/>
    <n v="4"/>
    <s v="5%"/>
    <n v="1376.37"/>
  </r>
  <r>
    <s v="ORD1720"/>
    <s v="26-08-2025"/>
    <s v="Anjali Mehta"/>
    <x v="1"/>
    <s v="Bihar"/>
    <x v="1"/>
    <s v="Chair"/>
    <s v="Office Chair"/>
    <n v="60590"/>
    <n v="8"/>
    <s v="20%"/>
    <n v="12826.78"/>
  </r>
  <r>
    <s v="ORD1721"/>
    <s v="27-10-2025"/>
    <s v="Priya Verma"/>
    <x v="3"/>
    <s v="Maharashtra"/>
    <x v="0"/>
    <s v="Paper"/>
    <s v="A4 Paper Pack"/>
    <n v="5378"/>
    <n v="10"/>
    <s v="10%"/>
    <n v="517.62"/>
  </r>
  <r>
    <s v="ORD1722"/>
    <s v="29-08-2025"/>
    <s v="Arjun Rana"/>
    <x v="1"/>
    <s v="West Bengal"/>
    <x v="1"/>
    <s v="Bookcase"/>
    <s v="Wooden Bookcase"/>
    <n v="43147"/>
    <n v="4"/>
    <s v="20%"/>
    <n v="3368.28"/>
  </r>
  <r>
    <s v="ORD1723"/>
    <s v="24-09-2025"/>
    <s v="Arjun Rana"/>
    <x v="3"/>
    <s v="Maharashtra"/>
    <x v="1"/>
    <s v="Table"/>
    <s v="Study Table"/>
    <n v="11585"/>
    <n v="3"/>
    <s v="5%"/>
    <n v="906.68"/>
  </r>
  <r>
    <s v="ORD1724"/>
    <s v="06-04-2025"/>
    <s v="Priya Verma"/>
    <x v="3"/>
    <s v="Gujarat"/>
    <x v="2"/>
    <s v="Mobile"/>
    <s v="Samsung Galaxy"/>
    <n v="20000"/>
    <n v="10"/>
    <s v="20%"/>
    <n v="3532.45"/>
  </r>
  <r>
    <s v="ORD1725"/>
    <s v="12-10-2025"/>
    <s v="Rohit Gupta"/>
    <x v="1"/>
    <s v="Odisha"/>
    <x v="1"/>
    <s v="Table"/>
    <s v="Study Table"/>
    <n v="69712"/>
    <n v="7"/>
    <s v="0%"/>
    <n v="15129.67"/>
  </r>
  <r>
    <s v="ORD1726"/>
    <s v="06-02-2025"/>
    <s v="Neha Singh"/>
    <x v="0"/>
    <s v="Haryana"/>
    <x v="0"/>
    <s v="Binder"/>
    <s v="A4 Binder"/>
    <n v="76357"/>
    <n v="8"/>
    <s v="0%"/>
    <n v="15651.59"/>
  </r>
  <r>
    <s v="ORD1727"/>
    <s v="21-07-2025"/>
    <s v="Rahul Sharma"/>
    <x v="3"/>
    <s v="Maharashtra"/>
    <x v="2"/>
    <s v="Accessories"/>
    <s v="Wireless Mouse"/>
    <n v="68400"/>
    <n v="10"/>
    <s v="10%"/>
    <n v="12899.79"/>
  </r>
  <r>
    <s v="ORD1728"/>
    <s v="20-07-2025"/>
    <s v="Karan Patel"/>
    <x v="0"/>
    <s v="Delhi"/>
    <x v="1"/>
    <s v="Bookcase"/>
    <s v="Wooden Bookcase"/>
    <n v="11739"/>
    <n v="9"/>
    <s v="5%"/>
    <n v="2433.0500000000002"/>
  </r>
  <r>
    <s v="ORD1729"/>
    <s v="17-03-2025"/>
    <s v="Priya Verma"/>
    <x v="2"/>
    <s v="Tamil Nadu"/>
    <x v="0"/>
    <s v="Paper"/>
    <s v="A4 Paper Pack"/>
    <n v="48259"/>
    <n v="1"/>
    <s v="20%"/>
    <n v="4351.78"/>
  </r>
  <r>
    <s v="ORD1730"/>
    <s v="28-03-2025"/>
    <s v="Simran Kaur"/>
    <x v="0"/>
    <s v="Punjab"/>
    <x v="1"/>
    <s v="Bookcase"/>
    <s v="Wooden Bookcase"/>
    <n v="5958"/>
    <n v="8"/>
    <s v="20%"/>
    <n v="554.97"/>
  </r>
  <r>
    <s v="ORD1731"/>
    <s v="19-08-2025"/>
    <s v="Simran Kaur"/>
    <x v="0"/>
    <s v="Punjab"/>
    <x v="2"/>
    <s v="Mobile"/>
    <s v="Samsung Galaxy"/>
    <n v="67888"/>
    <n v="8"/>
    <s v="20%"/>
    <n v="7143.24"/>
  </r>
  <r>
    <s v="ORD1732"/>
    <s v="26-11-2025"/>
    <s v="Simran Kaur"/>
    <x v="2"/>
    <s v="Tamil Nadu"/>
    <x v="1"/>
    <s v="Bookcase"/>
    <s v="Wooden Bookcase"/>
    <n v="12945"/>
    <n v="4"/>
    <s v="5%"/>
    <n v="2432.71"/>
  </r>
  <r>
    <s v="ORD1733"/>
    <s v="19-08-2025"/>
    <s v="Rohit Gupta"/>
    <x v="3"/>
    <s v="Maharashtra"/>
    <x v="2"/>
    <s v="Mobile"/>
    <s v="Samsung Galaxy"/>
    <n v="55477"/>
    <n v="1"/>
    <s v="10%"/>
    <n v="9769.36"/>
  </r>
  <r>
    <s v="ORD1734"/>
    <s v="23-12-2025"/>
    <s v="Neha Singh"/>
    <x v="2"/>
    <s v="Tamil Nadu"/>
    <x v="2"/>
    <s v="Accessories"/>
    <s v="Wireless Mouse"/>
    <n v="5197"/>
    <n v="10"/>
    <s v="10%"/>
    <n v="898.53"/>
  </r>
  <r>
    <s v="ORD1735"/>
    <s v="20-08-2025"/>
    <s v="Amit Kumar"/>
    <x v="1"/>
    <s v="Bihar"/>
    <x v="2"/>
    <s v="Mobile"/>
    <s v="Samsung Galaxy"/>
    <n v="17994"/>
    <n v="1"/>
    <s v="5%"/>
    <n v="2319.66"/>
  </r>
  <r>
    <s v="ORD1736"/>
    <s v="17-09-2025"/>
    <s v="Anjali Mehta"/>
    <x v="3"/>
    <s v="Gujarat"/>
    <x v="2"/>
    <s v="Mobile"/>
    <s v="Samsung Galaxy"/>
    <n v="50463"/>
    <n v="7"/>
    <s v="0%"/>
    <n v="8597.76"/>
  </r>
  <r>
    <s v="ORD1737"/>
    <s v="29-11-2025"/>
    <s v="Neha Singh"/>
    <x v="2"/>
    <s v="Karnataka"/>
    <x v="0"/>
    <s v="Pen"/>
    <s v="Gel Pen Set"/>
    <n v="67695"/>
    <n v="10"/>
    <s v="10%"/>
    <n v="15099"/>
  </r>
  <r>
    <s v="ORD1738"/>
    <s v="25-01-2025"/>
    <s v="Karan Patel"/>
    <x v="1"/>
    <s v="Bihar"/>
    <x v="0"/>
    <s v="Paper"/>
    <s v="A4 Paper Pack"/>
    <n v="76969"/>
    <n v="4"/>
    <s v="0%"/>
    <n v="8098.91"/>
  </r>
  <r>
    <s v="ORD1739"/>
    <s v="01-08-2025"/>
    <s v="Neha Singh"/>
    <x v="0"/>
    <s v="Delhi"/>
    <x v="1"/>
    <s v="Chair"/>
    <s v="Office Chair"/>
    <n v="37188"/>
    <n v="1"/>
    <s v="5%"/>
    <n v="6881.23"/>
  </r>
  <r>
    <s v="ORD1740"/>
    <s v="14-07-2025"/>
    <s v="Rohit Gupta"/>
    <x v="0"/>
    <s v="Punjab"/>
    <x v="2"/>
    <s v="Accessories"/>
    <s v="Wireless Mouse"/>
    <n v="63207"/>
    <n v="6"/>
    <s v="0%"/>
    <n v="11780.4"/>
  </r>
  <r>
    <s v="ORD1741"/>
    <s v="29-08-2025"/>
    <s v="Rohit Gupta"/>
    <x v="0"/>
    <s v="Punjab"/>
    <x v="2"/>
    <s v="Accessories"/>
    <s v="Wireless Mouse"/>
    <n v="64940"/>
    <n v="1"/>
    <s v="0%"/>
    <n v="8161.97"/>
  </r>
  <r>
    <s v="ORD1742"/>
    <s v="17-01-2025"/>
    <s v="Rohit Gupta"/>
    <x v="2"/>
    <s v="Karnataka"/>
    <x v="0"/>
    <s v="Pen"/>
    <s v="Gel Pen Set"/>
    <n v="35361"/>
    <n v="5"/>
    <s v="5%"/>
    <n v="9160.2800000000007"/>
  </r>
  <r>
    <s v="ORD1743"/>
    <s v="26-07-2025"/>
    <s v="Arjun Rana"/>
    <x v="1"/>
    <s v="Odisha"/>
    <x v="0"/>
    <s v="Pen"/>
    <s v="Gel Pen Set"/>
    <n v="18070"/>
    <n v="9"/>
    <s v="5%"/>
    <n v="2655.57"/>
  </r>
  <r>
    <s v="ORD1744"/>
    <s v="08-06-2025"/>
    <s v="Sneha Joshi"/>
    <x v="3"/>
    <s v="Rajasthan"/>
    <x v="2"/>
    <s v="Laptop"/>
    <s v="HP Pavilion"/>
    <n v="26436"/>
    <n v="6"/>
    <s v="10%"/>
    <n v="3757.59"/>
  </r>
  <r>
    <s v="ORD1745"/>
    <s v="03-04-2025"/>
    <s v="Rohit Gupta"/>
    <x v="2"/>
    <s v="Kerala"/>
    <x v="0"/>
    <s v="Binder"/>
    <s v="A4 Binder"/>
    <n v="6418"/>
    <n v="4"/>
    <s v="15%"/>
    <n v="571.26"/>
  </r>
  <r>
    <s v="ORD1746"/>
    <s v="28-04-2025"/>
    <s v="Amit Kumar"/>
    <x v="0"/>
    <s v="Delhi"/>
    <x v="1"/>
    <s v="Bookcase"/>
    <s v="Wooden Bookcase"/>
    <n v="27535"/>
    <n v="2"/>
    <s v="10%"/>
    <n v="5442.69"/>
  </r>
  <r>
    <s v="ORD1747"/>
    <s v="21-12-2025"/>
    <s v="Rohit Gupta"/>
    <x v="0"/>
    <s v="Haryana"/>
    <x v="1"/>
    <s v="Chair"/>
    <s v="Office Chair"/>
    <n v="51397"/>
    <n v="1"/>
    <s v="15%"/>
    <n v="10585.48"/>
  </r>
  <r>
    <s v="ORD1748"/>
    <s v="14-10-2025"/>
    <s v="Sneha Joshi"/>
    <x v="1"/>
    <s v="West Bengal"/>
    <x v="1"/>
    <s v="Table"/>
    <s v="Study Table"/>
    <n v="57896"/>
    <n v="6"/>
    <s v="5%"/>
    <n v="10439.030000000001"/>
  </r>
  <r>
    <s v="ORD1749"/>
    <s v="18-05-2025"/>
    <s v="Anjali Mehta"/>
    <x v="2"/>
    <s v="Karnataka"/>
    <x v="1"/>
    <s v="Table"/>
    <s v="Study Table"/>
    <n v="19313"/>
    <n v="5"/>
    <s v="0%"/>
    <n v="1638.43"/>
  </r>
  <r>
    <s v="ORD1750"/>
    <s v="27-06-2025"/>
    <s v="Sneha Joshi"/>
    <x v="3"/>
    <s v="Rajasthan"/>
    <x v="0"/>
    <s v="Binder"/>
    <s v="A4 Binder"/>
    <n v="74830"/>
    <n v="10"/>
    <s v="15%"/>
    <n v="13793.76"/>
  </r>
  <r>
    <s v="ORD1751"/>
    <s v="02-01-2025"/>
    <s v="Neha Singh"/>
    <x v="2"/>
    <s v="Karnataka"/>
    <x v="1"/>
    <s v="Bookcase"/>
    <s v="Wooden Bookcase"/>
    <n v="16841"/>
    <n v="5"/>
    <s v="10%"/>
    <n v="1369.99"/>
  </r>
  <r>
    <s v="ORD1752"/>
    <s v="16-01-2025"/>
    <s v="Simran Kaur"/>
    <x v="3"/>
    <s v="Maharashtra"/>
    <x v="1"/>
    <s v="Chair"/>
    <s v="Office Chair"/>
    <n v="61145"/>
    <n v="4"/>
    <s v="10%"/>
    <n v="12004"/>
  </r>
  <r>
    <s v="ORD1753"/>
    <s v="13-02-2025"/>
    <s v="Karan Patel"/>
    <x v="2"/>
    <s v="Karnataka"/>
    <x v="0"/>
    <s v="Pen"/>
    <s v="Gel Pen Set"/>
    <n v="20972"/>
    <n v="6"/>
    <s v="15%"/>
    <n v="5413.81"/>
  </r>
  <r>
    <s v="ORD1754"/>
    <s v="19-10-2025"/>
    <s v="Amit Kumar"/>
    <x v="3"/>
    <s v="Gujarat"/>
    <x v="2"/>
    <s v="Accessories"/>
    <s v="Wireless Mouse"/>
    <n v="61977"/>
    <n v="2"/>
    <s v="5%"/>
    <n v="16856.849999999999"/>
  </r>
  <r>
    <s v="ORD1755"/>
    <s v="17-08-2025"/>
    <s v="Anjali Mehta"/>
    <x v="2"/>
    <s v="Karnataka"/>
    <x v="1"/>
    <s v="Bookcase"/>
    <s v="Wooden Bookcase"/>
    <n v="61110"/>
    <n v="7"/>
    <s v="0%"/>
    <n v="16043.83"/>
  </r>
  <r>
    <s v="ORD1756"/>
    <s v="24-12-2025"/>
    <s v="Karan Patel"/>
    <x v="0"/>
    <s v="Haryana"/>
    <x v="1"/>
    <s v="Table"/>
    <s v="Study Table"/>
    <n v="61879"/>
    <n v="3"/>
    <s v="10%"/>
    <n v="5056.2"/>
  </r>
  <r>
    <s v="ORD1757"/>
    <s v="25-11-2025"/>
    <s v="Anjali Mehta"/>
    <x v="0"/>
    <s v="Punjab"/>
    <x v="0"/>
    <s v="Binder"/>
    <s v="A4 Binder"/>
    <n v="35627"/>
    <n v="3"/>
    <s v="0%"/>
    <n v="3858.36"/>
  </r>
  <r>
    <s v="ORD1758"/>
    <s v="10-11-2025"/>
    <s v="Neha Singh"/>
    <x v="2"/>
    <s v="Karnataka"/>
    <x v="0"/>
    <s v="Paper"/>
    <s v="A4 Paper Pack"/>
    <n v="5611"/>
    <n v="6"/>
    <s v="0%"/>
    <n v="1312.7"/>
  </r>
  <r>
    <s v="ORD1759"/>
    <s v="19-08-2025"/>
    <s v="Sneha Joshi"/>
    <x v="3"/>
    <s v="Maharashtra"/>
    <x v="0"/>
    <s v="Paper"/>
    <s v="A4 Paper Pack"/>
    <n v="31871"/>
    <n v="10"/>
    <s v="20%"/>
    <n v="6138.68"/>
  </r>
  <r>
    <s v="ORD1760"/>
    <s v="02-09-2025"/>
    <s v="Anjali Mehta"/>
    <x v="1"/>
    <s v="Odisha"/>
    <x v="0"/>
    <s v="Binder"/>
    <s v="A4 Binder"/>
    <n v="13263"/>
    <n v="8"/>
    <s v="15%"/>
    <n v="1855.54"/>
  </r>
  <r>
    <s v="ORD1761"/>
    <s v="24-10-2025"/>
    <s v="Karan Patel"/>
    <x v="1"/>
    <s v="Bihar"/>
    <x v="0"/>
    <s v="Pen"/>
    <s v="Gel Pen Set"/>
    <n v="46161"/>
    <n v="3"/>
    <s v="0%"/>
    <n v="4990.29"/>
  </r>
  <r>
    <s v="ORD1762"/>
    <s v="05-07-2025"/>
    <s v="Simran Kaur"/>
    <x v="2"/>
    <s v="Kerala"/>
    <x v="2"/>
    <s v="Laptop"/>
    <s v="HP Pavilion"/>
    <n v="945"/>
    <n v="2"/>
    <s v="10%"/>
    <n v="180.44"/>
  </r>
  <r>
    <s v="ORD1763"/>
    <s v="09-08-2025"/>
    <s v="Sneha Joshi"/>
    <x v="3"/>
    <s v="Rajasthan"/>
    <x v="1"/>
    <s v="Table"/>
    <s v="Study Table"/>
    <n v="33968"/>
    <n v="7"/>
    <s v="10%"/>
    <n v="8951.52"/>
  </r>
  <r>
    <s v="ORD1764"/>
    <s v="24-01-2025"/>
    <s v="Amit Kumar"/>
    <x v="2"/>
    <s v="Karnataka"/>
    <x v="0"/>
    <s v="Binder"/>
    <s v="A4 Binder"/>
    <n v="69998"/>
    <n v="3"/>
    <s v="0%"/>
    <n v="8808.8799999999992"/>
  </r>
  <r>
    <s v="ORD1765"/>
    <s v="17-03-2025"/>
    <s v="Priya Verma"/>
    <x v="2"/>
    <s v="Kerala"/>
    <x v="1"/>
    <s v="Chair"/>
    <s v="Office Chair"/>
    <n v="819"/>
    <n v="2"/>
    <s v="5%"/>
    <n v="134.32"/>
  </r>
  <r>
    <s v="ORD1766"/>
    <s v="21-09-2025"/>
    <s v="Sneha Joshi"/>
    <x v="0"/>
    <s v="Delhi"/>
    <x v="1"/>
    <s v="Table"/>
    <s v="Study Table"/>
    <n v="21489"/>
    <n v="1"/>
    <s v="10%"/>
    <n v="4795.2"/>
  </r>
  <r>
    <s v="ORD1767"/>
    <s v="26-02-2025"/>
    <s v="Neha Singh"/>
    <x v="3"/>
    <s v="Maharashtra"/>
    <x v="2"/>
    <s v="Mobile"/>
    <s v="Samsung Galaxy"/>
    <n v="13240"/>
    <n v="7"/>
    <s v="5%"/>
    <n v="1219.25"/>
  </r>
  <r>
    <s v="ORD1768"/>
    <s v="08-05-2025"/>
    <s v="Priya Verma"/>
    <x v="0"/>
    <s v="Punjab"/>
    <x v="1"/>
    <s v="Table"/>
    <s v="Study Table"/>
    <n v="9443"/>
    <n v="4"/>
    <s v="15%"/>
    <n v="1125.17"/>
  </r>
  <r>
    <s v="ORD1769"/>
    <s v="21-02-2025"/>
    <s v="Rahul Sharma"/>
    <x v="0"/>
    <s v="Punjab"/>
    <x v="2"/>
    <s v="Laptop"/>
    <s v="HP Pavilion"/>
    <n v="40130"/>
    <n v="6"/>
    <s v="0%"/>
    <n v="5116.7299999999996"/>
  </r>
  <r>
    <s v="ORD1770"/>
    <s v="12-10-2025"/>
    <s v="Amit Kumar"/>
    <x v="1"/>
    <s v="West Bengal"/>
    <x v="1"/>
    <s v="Bookcase"/>
    <s v="Wooden Bookcase"/>
    <n v="10892"/>
    <n v="5"/>
    <s v="5%"/>
    <n v="2424.63"/>
  </r>
  <r>
    <s v="ORD1771"/>
    <s v="31-07-2025"/>
    <s v="Rahul Sharma"/>
    <x v="0"/>
    <s v="Haryana"/>
    <x v="1"/>
    <s v="Bookcase"/>
    <s v="Wooden Bookcase"/>
    <n v="3478"/>
    <n v="5"/>
    <s v="10%"/>
    <n v="731.89"/>
  </r>
  <r>
    <s v="ORD1772"/>
    <s v="27-12-2025"/>
    <s v="Simran Kaur"/>
    <x v="0"/>
    <s v="Delhi"/>
    <x v="1"/>
    <s v="Table"/>
    <s v="Study Table"/>
    <n v="815"/>
    <n v="10"/>
    <s v="0%"/>
    <n v="128.02000000000001"/>
  </r>
  <r>
    <s v="ORD1773"/>
    <s v="30-09-2025"/>
    <s v="Rohit Gupta"/>
    <x v="2"/>
    <s v="Karnataka"/>
    <x v="2"/>
    <s v="Mobile"/>
    <s v="Samsung Galaxy"/>
    <n v="6171"/>
    <n v="8"/>
    <s v="10%"/>
    <n v="841.13"/>
  </r>
  <r>
    <s v="ORD1774"/>
    <s v="25-05-2025"/>
    <s v="Sneha Joshi"/>
    <x v="0"/>
    <s v="Delhi"/>
    <x v="1"/>
    <s v="Chair"/>
    <s v="Office Chair"/>
    <n v="28893"/>
    <n v="3"/>
    <s v="15%"/>
    <n v="6770.84"/>
  </r>
  <r>
    <s v="ORD1775"/>
    <s v="25-10-2025"/>
    <s v="Rohit Gupta"/>
    <x v="0"/>
    <s v="Punjab"/>
    <x v="0"/>
    <s v="Paper"/>
    <s v="A4 Paper Pack"/>
    <n v="74271"/>
    <n v="7"/>
    <s v="5%"/>
    <n v="5947.54"/>
  </r>
  <r>
    <s v="ORD1776"/>
    <s v="25-04-2025"/>
    <s v="Priya Verma"/>
    <x v="3"/>
    <s v="Maharashtra"/>
    <x v="0"/>
    <s v="Binder"/>
    <s v="A4 Binder"/>
    <n v="39380"/>
    <n v="6"/>
    <s v="10%"/>
    <n v="3613.51"/>
  </r>
  <r>
    <s v="ORD1777"/>
    <s v="05-04-2025"/>
    <s v="Karan Patel"/>
    <x v="1"/>
    <s v="Bihar"/>
    <x v="0"/>
    <s v="Binder"/>
    <s v="A4 Binder"/>
    <n v="33772"/>
    <n v="5"/>
    <s v="5%"/>
    <n v="7234.03"/>
  </r>
  <r>
    <s v="ORD1778"/>
    <s v="08-11-2025"/>
    <s v="Amit Kumar"/>
    <x v="2"/>
    <s v="Kerala"/>
    <x v="1"/>
    <s v="Chair"/>
    <s v="Office Chair"/>
    <n v="63750"/>
    <n v="9"/>
    <s v="0%"/>
    <n v="6138.45"/>
  </r>
  <r>
    <s v="ORD1779"/>
    <s v="17-11-2025"/>
    <s v="Sneha Joshi"/>
    <x v="2"/>
    <s v="Karnataka"/>
    <x v="2"/>
    <s v="Laptop"/>
    <s v="HP Pavilion"/>
    <n v="8699"/>
    <n v="7"/>
    <s v="0%"/>
    <n v="794.7"/>
  </r>
  <r>
    <s v="ORD1780"/>
    <s v="24-07-2025"/>
    <s v="Amit Kumar"/>
    <x v="0"/>
    <s v="Delhi"/>
    <x v="1"/>
    <s v="Chair"/>
    <s v="Office Chair"/>
    <n v="57251"/>
    <n v="3"/>
    <s v="10%"/>
    <n v="13020.35"/>
  </r>
  <r>
    <s v="ORD1781"/>
    <s v="07-09-2025"/>
    <s v="Karan Patel"/>
    <x v="1"/>
    <s v="Odisha"/>
    <x v="2"/>
    <s v="Mobile"/>
    <s v="Samsung Galaxy"/>
    <n v="40509"/>
    <n v="1"/>
    <s v="10%"/>
    <n v="7278.46"/>
  </r>
  <r>
    <s v="ORD1782"/>
    <s v="26-12-2025"/>
    <s v="Neha Singh"/>
    <x v="0"/>
    <s v="Delhi"/>
    <x v="1"/>
    <s v="Bookcase"/>
    <s v="Wooden Bookcase"/>
    <n v="49842"/>
    <n v="3"/>
    <s v="5%"/>
    <n v="7467.13"/>
  </r>
  <r>
    <s v="ORD1783"/>
    <s v="11-06-2025"/>
    <s v="Priya Verma"/>
    <x v="3"/>
    <s v="Maharashtra"/>
    <x v="0"/>
    <s v="Binder"/>
    <s v="A4 Binder"/>
    <n v="66252"/>
    <n v="10"/>
    <s v="15%"/>
    <n v="11253.43"/>
  </r>
  <r>
    <s v="ORD1784"/>
    <s v="28-10-2025"/>
    <s v="Anjali Mehta"/>
    <x v="0"/>
    <s v="Punjab"/>
    <x v="0"/>
    <s v="Binder"/>
    <s v="A4 Binder"/>
    <n v="14808"/>
    <n v="6"/>
    <s v="20%"/>
    <n v="2358.96"/>
  </r>
  <r>
    <s v="ORD1785"/>
    <s v="26-02-2025"/>
    <s v="Anjali Mehta"/>
    <x v="3"/>
    <s v="Maharashtra"/>
    <x v="2"/>
    <s v="Accessories"/>
    <s v="Wireless Mouse"/>
    <n v="51472"/>
    <n v="2"/>
    <s v="20%"/>
    <n v="5312.99"/>
  </r>
  <r>
    <s v="ORD1786"/>
    <s v="12-11-2025"/>
    <s v="Rohit Gupta"/>
    <x v="0"/>
    <s v="Punjab"/>
    <x v="0"/>
    <s v="Pen"/>
    <s v="Gel Pen Set"/>
    <n v="42039"/>
    <n v="5"/>
    <s v="0%"/>
    <n v="11155.75"/>
  </r>
  <r>
    <s v="ORD1787"/>
    <s v="18-07-2025"/>
    <s v="Sneha Joshi"/>
    <x v="2"/>
    <s v="Kerala"/>
    <x v="2"/>
    <s v="Laptop"/>
    <s v="HP Pavilion"/>
    <n v="60635"/>
    <n v="5"/>
    <s v="15%"/>
    <n v="9227.09"/>
  </r>
  <r>
    <s v="ORD1788"/>
    <s v="08-08-2025"/>
    <s v="Amit Kumar"/>
    <x v="3"/>
    <s v="Gujarat"/>
    <x v="0"/>
    <s v="Paper"/>
    <s v="A4 Paper Pack"/>
    <n v="49397"/>
    <n v="6"/>
    <s v="10%"/>
    <n v="8042.1"/>
  </r>
  <r>
    <s v="ORD1789"/>
    <s v="28-02-2025"/>
    <s v="Arjun Rana"/>
    <x v="3"/>
    <s v="Maharashtra"/>
    <x v="0"/>
    <s v="Binder"/>
    <s v="A4 Binder"/>
    <n v="68631"/>
    <n v="4"/>
    <s v="10%"/>
    <n v="5397.56"/>
  </r>
  <r>
    <s v="ORD1790"/>
    <s v="30-05-2025"/>
    <s v="Sneha Joshi"/>
    <x v="3"/>
    <s v="Rajasthan"/>
    <x v="2"/>
    <s v="Accessories"/>
    <s v="Wireless Mouse"/>
    <n v="23131"/>
    <n v="7"/>
    <s v="10%"/>
    <n v="4688.7299999999996"/>
  </r>
  <r>
    <s v="ORD1791"/>
    <s v="07-07-2025"/>
    <s v="Amit Kumar"/>
    <x v="2"/>
    <s v="Kerala"/>
    <x v="2"/>
    <s v="Mobile"/>
    <s v="Samsung Galaxy"/>
    <n v="78904"/>
    <n v="8"/>
    <s v="10%"/>
    <n v="13392.01"/>
  </r>
  <r>
    <s v="ORD1792"/>
    <s v="22-06-2025"/>
    <s v="Neha Singh"/>
    <x v="2"/>
    <s v="Tamil Nadu"/>
    <x v="2"/>
    <s v="Mobile"/>
    <s v="Samsung Galaxy"/>
    <n v="65022"/>
    <n v="2"/>
    <s v="20%"/>
    <n v="10153.93"/>
  </r>
  <r>
    <s v="ORD1793"/>
    <s v="04-10-2025"/>
    <s v="Simran Kaur"/>
    <x v="1"/>
    <s v="Bihar"/>
    <x v="0"/>
    <s v="Paper"/>
    <s v="A4 Paper Pack"/>
    <n v="6157"/>
    <n v="9"/>
    <s v="10%"/>
    <n v="1639.92"/>
  </r>
  <r>
    <s v="ORD1794"/>
    <s v="18-06-2025"/>
    <s v="Rahul Sharma"/>
    <x v="2"/>
    <s v="Kerala"/>
    <x v="0"/>
    <s v="Pen"/>
    <s v="Gel Pen Set"/>
    <n v="75594"/>
    <n v="6"/>
    <s v="0%"/>
    <n v="10667.95"/>
  </r>
  <r>
    <s v="ORD1795"/>
    <s v="05-12-2025"/>
    <s v="Anjali Mehta"/>
    <x v="3"/>
    <s v="Maharashtra"/>
    <x v="1"/>
    <s v="Chair"/>
    <s v="Office Chair"/>
    <n v="5368"/>
    <n v="9"/>
    <s v="0%"/>
    <n v="621.57000000000005"/>
  </r>
  <r>
    <s v="ORD1796"/>
    <s v="28-02-2025"/>
    <s v="Arjun Rana"/>
    <x v="1"/>
    <s v="Odisha"/>
    <x v="1"/>
    <s v="Chair"/>
    <s v="Office Chair"/>
    <n v="46075"/>
    <n v="8"/>
    <s v="5%"/>
    <n v="11530.59"/>
  </r>
  <r>
    <s v="ORD1797"/>
    <s v="14-05-2025"/>
    <s v="Amit Kumar"/>
    <x v="3"/>
    <s v="Gujarat"/>
    <x v="0"/>
    <s v="Binder"/>
    <s v="A4 Binder"/>
    <n v="49879"/>
    <n v="1"/>
    <s v="10%"/>
    <n v="9434.5300000000007"/>
  </r>
  <r>
    <s v="ORD1798"/>
    <s v="04-04-2025"/>
    <s v="Rahul Sharma"/>
    <x v="1"/>
    <s v="West Bengal"/>
    <x v="0"/>
    <s v="Paper"/>
    <s v="A4 Paper Pack"/>
    <n v="13826"/>
    <n v="1"/>
    <s v="0%"/>
    <n v="3746.05"/>
  </r>
  <r>
    <s v="ORD1799"/>
    <s v="02-12-2025"/>
    <s v="Rohit Gupta"/>
    <x v="0"/>
    <s v="Punjab"/>
    <x v="2"/>
    <s v="Laptop"/>
    <s v="HP Pavilion"/>
    <n v="11741"/>
    <n v="1"/>
    <s v="15%"/>
    <n v="2536.8200000000002"/>
  </r>
  <r>
    <s v="ORD1800"/>
    <s v="01-02-2025"/>
    <s v="Arjun Rana"/>
    <x v="3"/>
    <s v="Gujarat"/>
    <x v="0"/>
    <s v="Paper"/>
    <s v="A4 Paper Pack"/>
    <n v="37310"/>
    <n v="8"/>
    <s v="5%"/>
    <n v="4818.2299999999996"/>
  </r>
  <r>
    <s v="ORD1801"/>
    <s v="02-08-2025"/>
    <s v="Karan Patel"/>
    <x v="0"/>
    <s v="Haryana"/>
    <x v="0"/>
    <s v="Binder"/>
    <s v="A4 Binder"/>
    <n v="31953"/>
    <n v="7"/>
    <s v="5%"/>
    <n v="2443.0700000000002"/>
  </r>
  <r>
    <s v="ORD1802"/>
    <s v="14-02-2025"/>
    <s v="Simran Kaur"/>
    <x v="2"/>
    <s v="Kerala"/>
    <x v="1"/>
    <s v="Chair"/>
    <s v="Office Chair"/>
    <n v="74365"/>
    <n v="2"/>
    <s v="10%"/>
    <n v="16360.46"/>
  </r>
  <r>
    <s v="ORD1803"/>
    <s v="09-09-2025"/>
    <s v="Rahul Sharma"/>
    <x v="1"/>
    <s v="Odisha"/>
    <x v="1"/>
    <s v="Bookcase"/>
    <s v="Wooden Bookcase"/>
    <n v="11685"/>
    <n v="1"/>
    <s v="20%"/>
    <n v="1483"/>
  </r>
  <r>
    <s v="ORD1804"/>
    <s v="16-09-2025"/>
    <s v="Sneha Joshi"/>
    <x v="1"/>
    <s v="Odisha"/>
    <x v="0"/>
    <s v="Binder"/>
    <s v="A4 Binder"/>
    <n v="1260"/>
    <n v="9"/>
    <s v="5%"/>
    <n v="188.08"/>
  </r>
  <r>
    <s v="ORD1805"/>
    <s v="01-11-2025"/>
    <s v="Rohit Gupta"/>
    <x v="1"/>
    <s v="Odisha"/>
    <x v="0"/>
    <s v="Binder"/>
    <s v="A4 Binder"/>
    <n v="30119"/>
    <n v="10"/>
    <s v="0%"/>
    <n v="4524.5600000000004"/>
  </r>
  <r>
    <s v="ORD1806"/>
    <s v="06-08-2025"/>
    <s v="Anjali Mehta"/>
    <x v="1"/>
    <s v="Odisha"/>
    <x v="1"/>
    <s v="Chair"/>
    <s v="Office Chair"/>
    <n v="26179"/>
    <n v="5"/>
    <s v="0%"/>
    <n v="2118.11"/>
  </r>
  <r>
    <s v="ORD1807"/>
    <s v="05-01-2025"/>
    <s v="Rahul Sharma"/>
    <x v="1"/>
    <s v="Bihar"/>
    <x v="2"/>
    <s v="Mobile"/>
    <s v="Samsung Galaxy"/>
    <n v="22203"/>
    <n v="3"/>
    <s v="15%"/>
    <n v="3859.63"/>
  </r>
  <r>
    <s v="ORD1808"/>
    <s v="26-09-2025"/>
    <s v="Anjali Mehta"/>
    <x v="1"/>
    <s v="West Bengal"/>
    <x v="1"/>
    <s v="Chair"/>
    <s v="Office Chair"/>
    <n v="46694"/>
    <n v="5"/>
    <s v="20%"/>
    <n v="3653.7"/>
  </r>
  <r>
    <s v="ORD1809"/>
    <s v="03-08-2025"/>
    <s v="Priya Verma"/>
    <x v="2"/>
    <s v="Kerala"/>
    <x v="2"/>
    <s v="Accessories"/>
    <s v="Wireless Mouse"/>
    <n v="16187"/>
    <n v="3"/>
    <s v="20%"/>
    <n v="3204.12"/>
  </r>
  <r>
    <s v="ORD1810"/>
    <s v="10-06-2025"/>
    <s v="Rohit Gupta"/>
    <x v="3"/>
    <s v="Gujarat"/>
    <x v="0"/>
    <s v="Pen"/>
    <s v="Gel Pen Set"/>
    <n v="69478"/>
    <n v="3"/>
    <s v="20%"/>
    <n v="13657.02"/>
  </r>
  <r>
    <s v="ORD1811"/>
    <s v="30-10-2025"/>
    <s v="Priya Verma"/>
    <x v="1"/>
    <s v="West Bengal"/>
    <x v="0"/>
    <s v="Binder"/>
    <s v="A4 Binder"/>
    <n v="2676"/>
    <n v="3"/>
    <s v="5%"/>
    <n v="650.87"/>
  </r>
  <r>
    <s v="ORD1812"/>
    <s v="01-09-2025"/>
    <s v="Rahul Sharma"/>
    <x v="1"/>
    <s v="Bihar"/>
    <x v="2"/>
    <s v="Accessories"/>
    <s v="Wireless Mouse"/>
    <n v="70315"/>
    <n v="2"/>
    <s v="10%"/>
    <n v="9014.2999999999993"/>
  </r>
  <r>
    <s v="ORD1813"/>
    <s v="04-11-2025"/>
    <s v="Anjali Mehta"/>
    <x v="0"/>
    <s v="Delhi"/>
    <x v="0"/>
    <s v="Binder"/>
    <s v="A4 Binder"/>
    <n v="68248"/>
    <n v="8"/>
    <s v="0%"/>
    <n v="7367.18"/>
  </r>
  <r>
    <s v="ORD1814"/>
    <s v="07-03-2025"/>
    <s v="Karan Patel"/>
    <x v="2"/>
    <s v="Tamil Nadu"/>
    <x v="1"/>
    <s v="Table"/>
    <s v="Study Table"/>
    <n v="25293"/>
    <n v="10"/>
    <s v="20%"/>
    <n v="3142.67"/>
  </r>
  <r>
    <s v="ORD1815"/>
    <s v="15-03-2025"/>
    <s v="Simran Kaur"/>
    <x v="1"/>
    <s v="West Bengal"/>
    <x v="2"/>
    <s v="Laptop"/>
    <s v="HP Pavilion"/>
    <n v="14855"/>
    <n v="9"/>
    <s v="15%"/>
    <n v="2580.7600000000002"/>
  </r>
  <r>
    <s v="ORD1816"/>
    <s v="23-05-2025"/>
    <s v="Rahul Sharma"/>
    <x v="0"/>
    <s v="Punjab"/>
    <x v="0"/>
    <s v="Pen"/>
    <s v="Gel Pen Set"/>
    <n v="25611"/>
    <n v="5"/>
    <s v="5%"/>
    <n v="6866.19"/>
  </r>
  <r>
    <s v="ORD1817"/>
    <s v="13-05-2025"/>
    <s v="Amit Kumar"/>
    <x v="0"/>
    <s v="Punjab"/>
    <x v="1"/>
    <s v="Table"/>
    <s v="Study Table"/>
    <n v="62338"/>
    <n v="5"/>
    <s v="10%"/>
    <n v="15523.67"/>
  </r>
  <r>
    <s v="ORD1818"/>
    <s v="12-05-2025"/>
    <s v="Neha Singh"/>
    <x v="2"/>
    <s v="Kerala"/>
    <x v="1"/>
    <s v="Chair"/>
    <s v="Office Chair"/>
    <n v="49373"/>
    <n v="9"/>
    <s v="15%"/>
    <n v="12552.67"/>
  </r>
  <r>
    <s v="ORD1819"/>
    <s v="12-01-2025"/>
    <s v="Priya Verma"/>
    <x v="0"/>
    <s v="Delhi"/>
    <x v="2"/>
    <s v="Mobile"/>
    <s v="Samsung Galaxy"/>
    <n v="1425"/>
    <n v="1"/>
    <s v="0%"/>
    <n v="253.63"/>
  </r>
  <r>
    <s v="ORD1820"/>
    <s v="19-06-2025"/>
    <s v="Karan Patel"/>
    <x v="1"/>
    <s v="Odisha"/>
    <x v="0"/>
    <s v="Paper"/>
    <s v="A4 Paper Pack"/>
    <n v="18208"/>
    <n v="5"/>
    <s v="15%"/>
    <n v="2408.5700000000002"/>
  </r>
  <r>
    <s v="ORD1821"/>
    <s v="29-07-2025"/>
    <s v="Karan Patel"/>
    <x v="0"/>
    <s v="Delhi"/>
    <x v="1"/>
    <s v="Table"/>
    <s v="Study Table"/>
    <n v="18254"/>
    <n v="5"/>
    <s v="15%"/>
    <n v="2175.0700000000002"/>
  </r>
  <r>
    <s v="ORD1822"/>
    <s v="07-04-2025"/>
    <s v="Neha Singh"/>
    <x v="0"/>
    <s v="Delhi"/>
    <x v="0"/>
    <s v="Paper"/>
    <s v="A4 Paper Pack"/>
    <n v="50474"/>
    <n v="7"/>
    <s v="5%"/>
    <n v="8628.31"/>
  </r>
  <r>
    <s v="ORD1823"/>
    <s v="24-05-2025"/>
    <s v="Sneha Joshi"/>
    <x v="1"/>
    <s v="Bihar"/>
    <x v="0"/>
    <s v="Binder"/>
    <s v="A4 Binder"/>
    <n v="18647"/>
    <n v="9"/>
    <s v="0%"/>
    <n v="2476"/>
  </r>
  <r>
    <s v="ORD1824"/>
    <s v="24-11-2025"/>
    <s v="Simran Kaur"/>
    <x v="1"/>
    <s v="Odisha"/>
    <x v="0"/>
    <s v="Paper"/>
    <s v="A4 Paper Pack"/>
    <n v="66431"/>
    <n v="10"/>
    <s v="10%"/>
    <n v="15315.42"/>
  </r>
  <r>
    <s v="ORD1825"/>
    <s v="09-06-2025"/>
    <s v="Priya Verma"/>
    <x v="2"/>
    <s v="Kerala"/>
    <x v="0"/>
    <s v="Pen"/>
    <s v="Gel Pen Set"/>
    <n v="79339"/>
    <n v="9"/>
    <s v="20%"/>
    <n v="14901.35"/>
  </r>
  <r>
    <s v="ORD1826"/>
    <s v="17-08-2025"/>
    <s v="Rohit Gupta"/>
    <x v="2"/>
    <s v="Tamil Nadu"/>
    <x v="2"/>
    <s v="Laptop"/>
    <s v="HP Pavilion"/>
    <n v="52217"/>
    <n v="5"/>
    <s v="0%"/>
    <n v="14588.11"/>
  </r>
  <r>
    <s v="ORD1827"/>
    <s v="25-02-2025"/>
    <s v="Sneha Joshi"/>
    <x v="0"/>
    <s v="Punjab"/>
    <x v="1"/>
    <s v="Bookcase"/>
    <s v="Wooden Bookcase"/>
    <n v="20865"/>
    <n v="4"/>
    <s v="15%"/>
    <n v="3219.92"/>
  </r>
  <r>
    <s v="ORD1828"/>
    <s v="15-12-2025"/>
    <s v="Sneha Joshi"/>
    <x v="2"/>
    <s v="Karnataka"/>
    <x v="0"/>
    <s v="Paper"/>
    <s v="A4 Paper Pack"/>
    <n v="48265"/>
    <n v="1"/>
    <s v="0%"/>
    <n v="6890.96"/>
  </r>
  <r>
    <s v="ORD1829"/>
    <s v="27-12-2025"/>
    <s v="Priya Verma"/>
    <x v="1"/>
    <s v="West Bengal"/>
    <x v="0"/>
    <s v="Paper"/>
    <s v="A4 Paper Pack"/>
    <n v="49739"/>
    <n v="10"/>
    <s v="5%"/>
    <n v="11011.23"/>
  </r>
  <r>
    <s v="ORD1830"/>
    <s v="08-07-2025"/>
    <s v="Priya Verma"/>
    <x v="3"/>
    <s v="Rajasthan"/>
    <x v="0"/>
    <s v="Pen"/>
    <s v="Gel Pen Set"/>
    <n v="40594"/>
    <n v="3"/>
    <s v="15%"/>
    <n v="10657.6"/>
  </r>
  <r>
    <s v="ORD1831"/>
    <s v="14-02-2025"/>
    <s v="Amit Kumar"/>
    <x v="2"/>
    <s v="Kerala"/>
    <x v="2"/>
    <s v="Mobile"/>
    <s v="Samsung Galaxy"/>
    <n v="12978"/>
    <n v="7"/>
    <s v="10%"/>
    <n v="3119.05"/>
  </r>
  <r>
    <s v="ORD1832"/>
    <s v="05-06-2025"/>
    <s v="Sneha Joshi"/>
    <x v="2"/>
    <s v="Karnataka"/>
    <x v="0"/>
    <s v="Binder"/>
    <s v="A4 Binder"/>
    <n v="44069"/>
    <n v="7"/>
    <s v="10%"/>
    <n v="4320.1099999999997"/>
  </r>
  <r>
    <s v="ORD1833"/>
    <s v="13-05-2025"/>
    <s v="Rahul Sharma"/>
    <x v="0"/>
    <s v="Haryana"/>
    <x v="2"/>
    <s v="Accessories"/>
    <s v="Wireless Mouse"/>
    <n v="3886"/>
    <n v="4"/>
    <s v="15%"/>
    <n v="447.43"/>
  </r>
  <r>
    <s v="ORD1834"/>
    <s v="21-03-2025"/>
    <s v="Anjali Mehta"/>
    <x v="1"/>
    <s v="Odisha"/>
    <x v="1"/>
    <s v="Table"/>
    <s v="Study Table"/>
    <n v="1448"/>
    <n v="10"/>
    <s v="5%"/>
    <n v="388.48"/>
  </r>
  <r>
    <s v="ORD1835"/>
    <s v="16-12-2025"/>
    <s v="Anjali Mehta"/>
    <x v="3"/>
    <s v="Rajasthan"/>
    <x v="2"/>
    <s v="Mobile"/>
    <s v="Samsung Galaxy"/>
    <n v="24312"/>
    <n v="7"/>
    <s v="10%"/>
    <n v="2280.96"/>
  </r>
  <r>
    <s v="ORD1836"/>
    <s v="03-11-2025"/>
    <s v="Rahul Sharma"/>
    <x v="0"/>
    <s v="Delhi"/>
    <x v="1"/>
    <s v="Bookcase"/>
    <s v="Wooden Bookcase"/>
    <n v="46794"/>
    <n v="8"/>
    <s v="20%"/>
    <n v="5875.48"/>
  </r>
  <r>
    <s v="ORD1837"/>
    <s v="22-04-2025"/>
    <s v="Rahul Sharma"/>
    <x v="0"/>
    <s v="Delhi"/>
    <x v="2"/>
    <s v="Laptop"/>
    <s v="HP Pavilion"/>
    <n v="77388"/>
    <n v="5"/>
    <s v="15%"/>
    <n v="11489.52"/>
  </r>
  <r>
    <s v="ORD1838"/>
    <s v="25-01-2025"/>
    <s v="Anjali Mehta"/>
    <x v="2"/>
    <s v="Tamil Nadu"/>
    <x v="1"/>
    <s v="Table"/>
    <s v="Study Table"/>
    <n v="76275"/>
    <n v="1"/>
    <s v="10%"/>
    <n v="11798.22"/>
  </r>
  <r>
    <s v="ORD1839"/>
    <s v="29-05-2025"/>
    <s v="Priya Verma"/>
    <x v="1"/>
    <s v="Odisha"/>
    <x v="1"/>
    <s v="Table"/>
    <s v="Study Table"/>
    <n v="64533"/>
    <n v="8"/>
    <s v="20%"/>
    <n v="13576.95"/>
  </r>
  <r>
    <s v="ORD1840"/>
    <s v="19-01-2025"/>
    <s v="Amit Kumar"/>
    <x v="1"/>
    <s v="West Bengal"/>
    <x v="1"/>
    <s v="Table"/>
    <s v="Study Table"/>
    <n v="21764"/>
    <n v="5"/>
    <s v="0%"/>
    <n v="3209.39"/>
  </r>
  <r>
    <s v="ORD1841"/>
    <s v="31-12-2025"/>
    <s v="Anjali Mehta"/>
    <x v="3"/>
    <s v="Gujarat"/>
    <x v="0"/>
    <s v="Paper"/>
    <s v="A4 Paper Pack"/>
    <n v="24046"/>
    <n v="1"/>
    <s v="15%"/>
    <n v="4992.67"/>
  </r>
  <r>
    <s v="ORD1842"/>
    <s v="15-03-2025"/>
    <s v="Rohit Gupta"/>
    <x v="2"/>
    <s v="Tamil Nadu"/>
    <x v="2"/>
    <s v="Laptop"/>
    <s v="HP Pavilion"/>
    <n v="2221"/>
    <n v="7"/>
    <s v="5%"/>
    <n v="556.58000000000004"/>
  </r>
  <r>
    <s v="ORD1843"/>
    <s v="14-03-2025"/>
    <s v="Amit Kumar"/>
    <x v="0"/>
    <s v="Haryana"/>
    <x v="1"/>
    <s v="Table"/>
    <s v="Study Table"/>
    <n v="13943"/>
    <n v="9"/>
    <s v="15%"/>
    <n v="3576.65"/>
  </r>
  <r>
    <s v="ORD1844"/>
    <s v="25-10-2025"/>
    <s v="Amit Kumar"/>
    <x v="2"/>
    <s v="Tamil Nadu"/>
    <x v="1"/>
    <s v="Table"/>
    <s v="Study Table"/>
    <n v="38348"/>
    <n v="6"/>
    <s v="0%"/>
    <n v="4919.28"/>
  </r>
  <r>
    <s v="ORD1845"/>
    <s v="21-05-2025"/>
    <s v="Sneha Joshi"/>
    <x v="0"/>
    <s v="Delhi"/>
    <x v="2"/>
    <s v="Mobile"/>
    <s v="Samsung Galaxy"/>
    <n v="53317"/>
    <n v="2"/>
    <s v="20%"/>
    <n v="9501.93"/>
  </r>
  <r>
    <s v="ORD1846"/>
    <s v="12-12-2025"/>
    <s v="Anjali Mehta"/>
    <x v="3"/>
    <s v="Gujarat"/>
    <x v="1"/>
    <s v="Chair"/>
    <s v="Office Chair"/>
    <n v="60924"/>
    <n v="3"/>
    <s v="15%"/>
    <n v="9780.1200000000008"/>
  </r>
  <r>
    <s v="ORD1847"/>
    <s v="23-10-2025"/>
    <s v="Amit Kumar"/>
    <x v="3"/>
    <s v="Gujarat"/>
    <x v="2"/>
    <s v="Mobile"/>
    <s v="Samsung Galaxy"/>
    <n v="79200"/>
    <n v="10"/>
    <s v="0%"/>
    <n v="7706.42"/>
  </r>
  <r>
    <s v="ORD1848"/>
    <s v="10-02-2025"/>
    <s v="Rahul Sharma"/>
    <x v="3"/>
    <s v="Gujarat"/>
    <x v="1"/>
    <s v="Bookcase"/>
    <s v="Wooden Bookcase"/>
    <n v="37274"/>
    <n v="8"/>
    <s v="0%"/>
    <n v="3896.81"/>
  </r>
  <r>
    <s v="ORD1849"/>
    <s v="11-05-2025"/>
    <s v="Rahul Sharma"/>
    <x v="2"/>
    <s v="Kerala"/>
    <x v="0"/>
    <s v="Binder"/>
    <s v="A4 Binder"/>
    <n v="21298"/>
    <n v="8"/>
    <s v="20%"/>
    <n v="4799.29"/>
  </r>
  <r>
    <s v="ORD1850"/>
    <s v="17-03-2025"/>
    <s v="Karan Patel"/>
    <x v="3"/>
    <s v="Rajasthan"/>
    <x v="0"/>
    <s v="Pen"/>
    <s v="Gel Pen Set"/>
    <n v="6351"/>
    <n v="6"/>
    <s v="10%"/>
    <n v="1382.69"/>
  </r>
  <r>
    <s v="ORD1851"/>
    <s v="25-05-2025"/>
    <s v="Amit Kumar"/>
    <x v="1"/>
    <s v="Odisha"/>
    <x v="2"/>
    <s v="Laptop"/>
    <s v="HP Pavilion"/>
    <n v="41774"/>
    <n v="4"/>
    <s v="20%"/>
    <n v="5263.9"/>
  </r>
  <r>
    <s v="ORD1852"/>
    <s v="19-07-2025"/>
    <s v="Amit Kumar"/>
    <x v="1"/>
    <s v="Odisha"/>
    <x v="2"/>
    <s v="Accessories"/>
    <s v="Wireless Mouse"/>
    <n v="18228"/>
    <n v="2"/>
    <s v="0%"/>
    <n v="1734.18"/>
  </r>
  <r>
    <s v="ORD1853"/>
    <s v="24-06-2025"/>
    <s v="Karan Patel"/>
    <x v="3"/>
    <s v="Maharashtra"/>
    <x v="2"/>
    <s v="Mobile"/>
    <s v="Samsung Galaxy"/>
    <n v="17302"/>
    <n v="7"/>
    <s v="15%"/>
    <n v="3357.75"/>
  </r>
  <r>
    <s v="ORD1854"/>
    <s v="18-04-2025"/>
    <s v="Rohit Gupta"/>
    <x v="3"/>
    <s v="Rajasthan"/>
    <x v="1"/>
    <s v="Table"/>
    <s v="Study Table"/>
    <n v="11038"/>
    <n v="8"/>
    <s v="0%"/>
    <n v="3019.87"/>
  </r>
  <r>
    <s v="ORD1855"/>
    <s v="29-01-2025"/>
    <s v="Rohit Gupta"/>
    <x v="1"/>
    <s v="Odisha"/>
    <x v="0"/>
    <s v="Paper"/>
    <s v="A4 Paper Pack"/>
    <n v="35337"/>
    <n v="5"/>
    <s v="0%"/>
    <n v="5588.64"/>
  </r>
  <r>
    <s v="ORD1856"/>
    <s v="09-04-2025"/>
    <s v="Sneha Joshi"/>
    <x v="3"/>
    <s v="Maharashtra"/>
    <x v="1"/>
    <s v="Table"/>
    <s v="Study Table"/>
    <n v="38199"/>
    <n v="1"/>
    <s v="10%"/>
    <n v="8041.74"/>
  </r>
  <r>
    <s v="ORD1857"/>
    <s v="24-02-2025"/>
    <s v="Neha Singh"/>
    <x v="2"/>
    <s v="Kerala"/>
    <x v="1"/>
    <s v="Bookcase"/>
    <s v="Wooden Bookcase"/>
    <n v="9080"/>
    <n v="2"/>
    <s v="15%"/>
    <n v="1887.39"/>
  </r>
  <r>
    <s v="ORD1858"/>
    <s v="25-08-2025"/>
    <s v="Karan Patel"/>
    <x v="3"/>
    <s v="Rajasthan"/>
    <x v="1"/>
    <s v="Chair"/>
    <s v="Office Chair"/>
    <n v="16887"/>
    <n v="2"/>
    <s v="0%"/>
    <n v="2144.63"/>
  </r>
  <r>
    <s v="ORD1859"/>
    <s v="25-08-2025"/>
    <s v="Arjun Rana"/>
    <x v="0"/>
    <s v="Delhi"/>
    <x v="2"/>
    <s v="Laptop"/>
    <s v="HP Pavilion"/>
    <n v="48883"/>
    <n v="3"/>
    <s v="15%"/>
    <n v="10195.23"/>
  </r>
  <r>
    <s v="ORD1860"/>
    <s v="03-01-2025"/>
    <s v="Arjun Rana"/>
    <x v="0"/>
    <s v="Punjab"/>
    <x v="0"/>
    <s v="Pen"/>
    <s v="Gel Pen Set"/>
    <n v="69533"/>
    <n v="10"/>
    <s v="0%"/>
    <n v="17610.189999999999"/>
  </r>
  <r>
    <s v="ORD1861"/>
    <s v="10-08-2025"/>
    <s v="Karan Patel"/>
    <x v="2"/>
    <s v="Karnataka"/>
    <x v="1"/>
    <s v="Table"/>
    <s v="Study Table"/>
    <n v="4511"/>
    <n v="5"/>
    <s v="20%"/>
    <n v="1007.52"/>
  </r>
  <r>
    <s v="ORD1862"/>
    <s v="06-06-2025"/>
    <s v="Priya Verma"/>
    <x v="2"/>
    <s v="Kerala"/>
    <x v="1"/>
    <s v="Table"/>
    <s v="Study Table"/>
    <n v="51766"/>
    <n v="4"/>
    <s v="5%"/>
    <n v="9621.1"/>
  </r>
  <r>
    <s v="ORD1863"/>
    <s v="06-06-2025"/>
    <s v="Karan Patel"/>
    <x v="0"/>
    <s v="Punjab"/>
    <x v="1"/>
    <s v="Table"/>
    <s v="Study Table"/>
    <n v="19178"/>
    <n v="8"/>
    <s v="20%"/>
    <n v="1645.29"/>
  </r>
  <r>
    <s v="ORD1864"/>
    <s v="29-04-2025"/>
    <s v="Neha Singh"/>
    <x v="3"/>
    <s v="Gujarat"/>
    <x v="1"/>
    <s v="Table"/>
    <s v="Study Table"/>
    <n v="12061"/>
    <n v="3"/>
    <s v="5%"/>
    <n v="2153.12"/>
  </r>
  <r>
    <s v="ORD1865"/>
    <s v="26-12-2025"/>
    <s v="Neha Singh"/>
    <x v="2"/>
    <s v="Karnataka"/>
    <x v="2"/>
    <s v="Laptop"/>
    <s v="HP Pavilion"/>
    <n v="72912"/>
    <n v="6"/>
    <s v="20%"/>
    <n v="11238.86"/>
  </r>
  <r>
    <s v="ORD1866"/>
    <s v="21-04-2025"/>
    <s v="Rohit Gupta"/>
    <x v="3"/>
    <s v="Maharashtra"/>
    <x v="1"/>
    <s v="Table"/>
    <s v="Study Table"/>
    <n v="58919"/>
    <n v="2"/>
    <s v="5%"/>
    <n v="8094.6"/>
  </r>
  <r>
    <s v="ORD1867"/>
    <s v="11-08-2025"/>
    <s v="Anjali Mehta"/>
    <x v="1"/>
    <s v="Odisha"/>
    <x v="0"/>
    <s v="Paper"/>
    <s v="A4 Paper Pack"/>
    <n v="22976"/>
    <n v="8"/>
    <s v="10%"/>
    <n v="2208.64"/>
  </r>
  <r>
    <s v="ORD1868"/>
    <s v="01-02-2025"/>
    <s v="Karan Patel"/>
    <x v="3"/>
    <s v="Rajasthan"/>
    <x v="0"/>
    <s v="Pen"/>
    <s v="Gel Pen Set"/>
    <n v="77916"/>
    <n v="3"/>
    <s v="5%"/>
    <n v="20944.57"/>
  </r>
  <r>
    <s v="ORD1869"/>
    <s v="09-09-2025"/>
    <s v="Amit Kumar"/>
    <x v="3"/>
    <s v="Maharashtra"/>
    <x v="0"/>
    <s v="Binder"/>
    <s v="A4 Binder"/>
    <n v="55345"/>
    <n v="4"/>
    <s v="10%"/>
    <n v="7480.9"/>
  </r>
  <r>
    <s v="ORD1870"/>
    <s v="21-06-2025"/>
    <s v="Neha Singh"/>
    <x v="2"/>
    <s v="Kerala"/>
    <x v="0"/>
    <s v="Binder"/>
    <s v="A4 Binder"/>
    <n v="15636"/>
    <n v="9"/>
    <s v="20%"/>
    <n v="1887.87"/>
  </r>
  <r>
    <s v="ORD1871"/>
    <s v="07-03-2025"/>
    <s v="Neha Singh"/>
    <x v="0"/>
    <s v="Haryana"/>
    <x v="1"/>
    <s v="Chair"/>
    <s v="Office Chair"/>
    <n v="74570"/>
    <n v="10"/>
    <s v="5%"/>
    <n v="11133.39"/>
  </r>
  <r>
    <s v="ORD1872"/>
    <s v="28-01-2025"/>
    <s v="Karan Patel"/>
    <x v="0"/>
    <s v="Punjab"/>
    <x v="0"/>
    <s v="Pen"/>
    <s v="Gel Pen Set"/>
    <n v="32445"/>
    <n v="4"/>
    <s v="15%"/>
    <n v="5126.8100000000004"/>
  </r>
  <r>
    <s v="ORD1873"/>
    <s v="18-03-2025"/>
    <s v="Sneha Joshi"/>
    <x v="2"/>
    <s v="Kerala"/>
    <x v="2"/>
    <s v="Accessories"/>
    <s v="Wireless Mouse"/>
    <n v="18611"/>
    <n v="9"/>
    <s v="20%"/>
    <n v="4458.42"/>
  </r>
  <r>
    <s v="ORD1874"/>
    <s v="26-09-2025"/>
    <s v="Arjun Rana"/>
    <x v="2"/>
    <s v="Tamil Nadu"/>
    <x v="2"/>
    <s v="Laptop"/>
    <s v="HP Pavilion"/>
    <n v="25613"/>
    <n v="4"/>
    <s v="20%"/>
    <n v="3640.71"/>
  </r>
  <r>
    <s v="ORD1875"/>
    <s v="14-02-2025"/>
    <s v="Rahul Sharma"/>
    <x v="2"/>
    <s v="Kerala"/>
    <x v="0"/>
    <s v="Paper"/>
    <s v="A4 Paper Pack"/>
    <n v="79855"/>
    <n v="3"/>
    <s v="5%"/>
    <n v="21181.25"/>
  </r>
  <r>
    <s v="ORD1876"/>
    <s v="27-02-2025"/>
    <s v="Simran Kaur"/>
    <x v="0"/>
    <s v="Haryana"/>
    <x v="2"/>
    <s v="Laptop"/>
    <s v="HP Pavilion"/>
    <n v="74196"/>
    <n v="5"/>
    <s v="5%"/>
    <n v="14777.66"/>
  </r>
  <r>
    <s v="ORD1877"/>
    <s v="26-10-2025"/>
    <s v="Neha Singh"/>
    <x v="2"/>
    <s v="Kerala"/>
    <x v="1"/>
    <s v="Table"/>
    <s v="Study Table"/>
    <n v="16672"/>
    <n v="9"/>
    <s v="20%"/>
    <n v="1700.19"/>
  </r>
  <r>
    <s v="ORD1878"/>
    <s v="21-05-2025"/>
    <s v="Amit Kumar"/>
    <x v="2"/>
    <s v="Kerala"/>
    <x v="0"/>
    <s v="Paper"/>
    <s v="A4 Paper Pack"/>
    <n v="12949"/>
    <n v="10"/>
    <s v="5%"/>
    <n v="1207.49"/>
  </r>
  <r>
    <s v="ORD1879"/>
    <s v="19-07-2025"/>
    <s v="Rahul Sharma"/>
    <x v="2"/>
    <s v="Kerala"/>
    <x v="0"/>
    <s v="Paper"/>
    <s v="A4 Paper Pack"/>
    <n v="65412"/>
    <n v="9"/>
    <s v="15%"/>
    <n v="7960.12"/>
  </r>
  <r>
    <s v="ORD1880"/>
    <s v="11-02-2025"/>
    <s v="Amit Kumar"/>
    <x v="0"/>
    <s v="Punjab"/>
    <x v="1"/>
    <s v="Chair"/>
    <s v="Office Chair"/>
    <n v="29727"/>
    <n v="1"/>
    <s v="15%"/>
    <n v="3132.85"/>
  </r>
  <r>
    <s v="ORD1881"/>
    <s v="19-01-2025"/>
    <s v="Arjun Rana"/>
    <x v="3"/>
    <s v="Rajasthan"/>
    <x v="2"/>
    <s v="Laptop"/>
    <s v="HP Pavilion"/>
    <n v="49123"/>
    <n v="7"/>
    <s v="20%"/>
    <n v="5468.48"/>
  </r>
  <r>
    <s v="ORD1882"/>
    <s v="07-08-2025"/>
    <s v="Sneha Joshi"/>
    <x v="0"/>
    <s v="Delhi"/>
    <x v="1"/>
    <s v="Table"/>
    <s v="Study Table"/>
    <n v="28544"/>
    <n v="3"/>
    <s v="0%"/>
    <n v="6002.93"/>
  </r>
  <r>
    <s v="ORD1883"/>
    <s v="02-01-2025"/>
    <s v="Arjun Rana"/>
    <x v="0"/>
    <s v="Haryana"/>
    <x v="2"/>
    <s v="Laptop"/>
    <s v="HP Pavilion"/>
    <n v="66832"/>
    <n v="7"/>
    <s v="10%"/>
    <n v="12892.74"/>
  </r>
  <r>
    <s v="ORD1884"/>
    <s v="18-10-2025"/>
    <s v="Karan Patel"/>
    <x v="0"/>
    <s v="Delhi"/>
    <x v="2"/>
    <s v="Laptop"/>
    <s v="HP Pavilion"/>
    <n v="36214"/>
    <n v="6"/>
    <s v="0%"/>
    <n v="5924.71"/>
  </r>
  <r>
    <s v="ORD1885"/>
    <s v="19-01-2025"/>
    <s v="Karan Patel"/>
    <x v="0"/>
    <s v="Haryana"/>
    <x v="1"/>
    <s v="Bookcase"/>
    <s v="Wooden Bookcase"/>
    <n v="55685"/>
    <n v="7"/>
    <s v="0%"/>
    <n v="11371.2"/>
  </r>
  <r>
    <s v="ORD1886"/>
    <s v="18-08-2025"/>
    <s v="Rahul Sharma"/>
    <x v="2"/>
    <s v="Karnataka"/>
    <x v="0"/>
    <s v="Paper"/>
    <s v="A4 Paper Pack"/>
    <n v="71172"/>
    <n v="4"/>
    <s v="5%"/>
    <n v="5859.75"/>
  </r>
  <r>
    <s v="ORD1887"/>
    <s v="18-08-2025"/>
    <s v="Rohit Gupta"/>
    <x v="1"/>
    <s v="West Bengal"/>
    <x v="2"/>
    <s v="Accessories"/>
    <s v="Wireless Mouse"/>
    <n v="45752"/>
    <n v="4"/>
    <s v="20%"/>
    <n v="8450.98"/>
  </r>
  <r>
    <s v="ORD1888"/>
    <s v="30-05-2025"/>
    <s v="Anjali Mehta"/>
    <x v="0"/>
    <s v="Punjab"/>
    <x v="1"/>
    <s v="Table"/>
    <s v="Study Table"/>
    <n v="17857"/>
    <n v="4"/>
    <s v="10%"/>
    <n v="3240.93"/>
  </r>
  <r>
    <s v="ORD1889"/>
    <s v="03-05-2025"/>
    <s v="Karan Patel"/>
    <x v="2"/>
    <s v="Karnataka"/>
    <x v="1"/>
    <s v="Bookcase"/>
    <s v="Wooden Bookcase"/>
    <n v="4498"/>
    <n v="2"/>
    <s v="0%"/>
    <n v="506.89"/>
  </r>
  <r>
    <s v="ORD1890"/>
    <s v="11-12-2025"/>
    <s v="Simran Kaur"/>
    <x v="1"/>
    <s v="West Bengal"/>
    <x v="0"/>
    <s v="Paper"/>
    <s v="A4 Paper Pack"/>
    <n v="52124"/>
    <n v="2"/>
    <s v="15%"/>
    <n v="6033.99"/>
  </r>
  <r>
    <s v="ORD1891"/>
    <s v="17-03-2025"/>
    <s v="Neha Singh"/>
    <x v="3"/>
    <s v="Rajasthan"/>
    <x v="2"/>
    <s v="Laptop"/>
    <s v="HP Pavilion"/>
    <n v="42501"/>
    <n v="9"/>
    <s v="0%"/>
    <n v="6804.85"/>
  </r>
  <r>
    <s v="ORD1892"/>
    <s v="21-11-2025"/>
    <s v="Rohit Gupta"/>
    <x v="2"/>
    <s v="Tamil Nadu"/>
    <x v="1"/>
    <s v="Chair"/>
    <s v="Office Chair"/>
    <n v="40176"/>
    <n v="4"/>
    <s v="15%"/>
    <n v="5344.57"/>
  </r>
  <r>
    <s v="ORD1893"/>
    <s v="18-01-2025"/>
    <s v="Karan Patel"/>
    <x v="3"/>
    <s v="Maharashtra"/>
    <x v="0"/>
    <s v="Binder"/>
    <s v="A4 Binder"/>
    <n v="39222"/>
    <n v="7"/>
    <s v="15%"/>
    <n v="5240.71"/>
  </r>
  <r>
    <s v="ORD1894"/>
    <s v="26-03-2025"/>
    <s v="Neha Singh"/>
    <x v="0"/>
    <s v="Delhi"/>
    <x v="1"/>
    <s v="Table"/>
    <s v="Study Table"/>
    <n v="47562"/>
    <n v="4"/>
    <s v="5%"/>
    <n v="9282.26"/>
  </r>
  <r>
    <s v="ORD1895"/>
    <s v="26-02-2025"/>
    <s v="Simran Kaur"/>
    <x v="1"/>
    <s v="West Bengal"/>
    <x v="0"/>
    <s v="Paper"/>
    <s v="A4 Paper Pack"/>
    <n v="60577"/>
    <n v="3"/>
    <s v="20%"/>
    <n v="10041.36"/>
  </r>
  <r>
    <s v="ORD1896"/>
    <s v="02-10-2025"/>
    <s v="Karan Patel"/>
    <x v="2"/>
    <s v="Tamil Nadu"/>
    <x v="2"/>
    <s v="Mobile"/>
    <s v="Samsung Galaxy"/>
    <n v="74100"/>
    <n v="8"/>
    <s v="20%"/>
    <n v="18478.14"/>
  </r>
  <r>
    <s v="ORD1897"/>
    <s v="11-10-2025"/>
    <s v="Sneha Joshi"/>
    <x v="1"/>
    <s v="West Bengal"/>
    <x v="2"/>
    <s v="Accessories"/>
    <s v="Wireless Mouse"/>
    <n v="14901"/>
    <n v="2"/>
    <s v="5%"/>
    <n v="3467.67"/>
  </r>
  <r>
    <s v="ORD1898"/>
    <s v="15-02-2025"/>
    <s v="Priya Verma"/>
    <x v="2"/>
    <s v="Karnataka"/>
    <x v="0"/>
    <s v="Binder"/>
    <s v="A4 Binder"/>
    <n v="22140"/>
    <n v="1"/>
    <s v="10%"/>
    <n v="4167.8"/>
  </r>
  <r>
    <s v="ORD1899"/>
    <s v="23-10-2025"/>
    <s v="Rohit Gupta"/>
    <x v="2"/>
    <s v="Kerala"/>
    <x v="1"/>
    <s v="Chair"/>
    <s v="Office Chair"/>
    <n v="18018"/>
    <n v="10"/>
    <s v="10%"/>
    <n v="4612.3599999999997"/>
  </r>
  <r>
    <s v="ORD1900"/>
    <s v="22-10-2025"/>
    <s v="Karan Patel"/>
    <x v="0"/>
    <s v="Haryana"/>
    <x v="0"/>
    <s v="Paper"/>
    <s v="A4 Paper Pack"/>
    <n v="64212"/>
    <n v="7"/>
    <s v="20%"/>
    <n v="13588.44"/>
  </r>
  <r>
    <s v="ORD1901"/>
    <s v="22-08-2025"/>
    <s v="Neha Singh"/>
    <x v="0"/>
    <s v="Delhi"/>
    <x v="2"/>
    <s v="Laptop"/>
    <s v="HP Pavilion"/>
    <n v="74577"/>
    <n v="2"/>
    <s v="0%"/>
    <n v="19065.3"/>
  </r>
  <r>
    <s v="ORD1902"/>
    <s v="12-05-2025"/>
    <s v="Rahul Sharma"/>
    <x v="0"/>
    <s v="Haryana"/>
    <x v="0"/>
    <s v="Paper"/>
    <s v="A4 Paper Pack"/>
    <n v="25607"/>
    <n v="2"/>
    <s v="10%"/>
    <n v="4060.74"/>
  </r>
  <r>
    <s v="ORD1903"/>
    <s v="25-03-2025"/>
    <s v="Priya Verma"/>
    <x v="3"/>
    <s v="Gujarat"/>
    <x v="0"/>
    <s v="Pen"/>
    <s v="Gel Pen Set"/>
    <n v="35361"/>
    <n v="8"/>
    <s v="20%"/>
    <n v="7878.16"/>
  </r>
  <r>
    <s v="ORD1904"/>
    <s v="26-12-2025"/>
    <s v="Priya Verma"/>
    <x v="1"/>
    <s v="West Bengal"/>
    <x v="0"/>
    <s v="Pen"/>
    <s v="Gel Pen Set"/>
    <n v="64989"/>
    <n v="6"/>
    <s v="15%"/>
    <n v="14188.67"/>
  </r>
  <r>
    <s v="ORD1905"/>
    <s v="27-07-2025"/>
    <s v="Simran Kaur"/>
    <x v="0"/>
    <s v="Haryana"/>
    <x v="1"/>
    <s v="Bookcase"/>
    <s v="Wooden Bookcase"/>
    <n v="15525"/>
    <n v="1"/>
    <s v="15%"/>
    <n v="4035.03"/>
  </r>
  <r>
    <s v="ORD1906"/>
    <s v="30-12-2025"/>
    <s v="Simran Kaur"/>
    <x v="0"/>
    <s v="Haryana"/>
    <x v="1"/>
    <s v="Table"/>
    <s v="Study Table"/>
    <n v="36530"/>
    <n v="3"/>
    <s v="15%"/>
    <n v="7548.82"/>
  </r>
  <r>
    <s v="ORD1907"/>
    <s v="06-07-2025"/>
    <s v="Priya Verma"/>
    <x v="1"/>
    <s v="Bihar"/>
    <x v="2"/>
    <s v="Laptop"/>
    <s v="HP Pavilion"/>
    <n v="11177"/>
    <n v="2"/>
    <s v="5%"/>
    <n v="2912.49"/>
  </r>
  <r>
    <s v="ORD1908"/>
    <s v="24-10-2025"/>
    <s v="Simran Kaur"/>
    <x v="3"/>
    <s v="Maharashtra"/>
    <x v="1"/>
    <s v="Bookcase"/>
    <s v="Wooden Bookcase"/>
    <n v="69077"/>
    <n v="9"/>
    <s v="0%"/>
    <n v="6618.56"/>
  </r>
  <r>
    <s v="ORD1909"/>
    <s v="06-03-2025"/>
    <s v="Amit Kumar"/>
    <x v="1"/>
    <s v="Bihar"/>
    <x v="2"/>
    <s v="Mobile"/>
    <s v="Samsung Galaxy"/>
    <n v="67492"/>
    <n v="9"/>
    <s v="10%"/>
    <n v="8726.86"/>
  </r>
  <r>
    <s v="ORD1910"/>
    <s v="16-03-2025"/>
    <s v="Priya Verma"/>
    <x v="3"/>
    <s v="Gujarat"/>
    <x v="1"/>
    <s v="Chair"/>
    <s v="Office Chair"/>
    <n v="76153"/>
    <n v="7"/>
    <s v="20%"/>
    <n v="17949.5"/>
  </r>
  <r>
    <s v="ORD1911"/>
    <s v="26-07-2025"/>
    <s v="Anjali Mehta"/>
    <x v="1"/>
    <s v="Odisha"/>
    <x v="1"/>
    <s v="Chair"/>
    <s v="Office Chair"/>
    <n v="19741"/>
    <n v="6"/>
    <s v="15%"/>
    <n v="3079.91"/>
  </r>
  <r>
    <s v="ORD1912"/>
    <s v="19-10-2025"/>
    <s v="Rahul Sharma"/>
    <x v="2"/>
    <s v="Kerala"/>
    <x v="1"/>
    <s v="Table"/>
    <s v="Study Table"/>
    <n v="55042"/>
    <n v="7"/>
    <s v="20%"/>
    <n v="13965.33"/>
  </r>
  <r>
    <s v="ORD1913"/>
    <s v="26-12-2025"/>
    <s v="Priya Verma"/>
    <x v="2"/>
    <s v="Tamil Nadu"/>
    <x v="1"/>
    <s v="Bookcase"/>
    <s v="Wooden Bookcase"/>
    <n v="63288"/>
    <n v="1"/>
    <s v="10%"/>
    <n v="6876.35"/>
  </r>
  <r>
    <s v="ORD1914"/>
    <s v="02-12-2025"/>
    <s v="Neha Singh"/>
    <x v="2"/>
    <s v="Tamil Nadu"/>
    <x v="2"/>
    <s v="Mobile"/>
    <s v="Samsung Galaxy"/>
    <n v="20598"/>
    <n v="10"/>
    <s v="15%"/>
    <n v="3889.08"/>
  </r>
  <r>
    <s v="ORD1915"/>
    <s v="23-08-2025"/>
    <s v="Rahul Sharma"/>
    <x v="1"/>
    <s v="Bihar"/>
    <x v="2"/>
    <s v="Laptop"/>
    <s v="HP Pavilion"/>
    <n v="74122"/>
    <n v="3"/>
    <s v="5%"/>
    <n v="9609.73"/>
  </r>
  <r>
    <s v="ORD1916"/>
    <s v="27-11-2025"/>
    <s v="Amit Kumar"/>
    <x v="1"/>
    <s v="Bihar"/>
    <x v="0"/>
    <s v="Binder"/>
    <s v="A4 Binder"/>
    <n v="28687"/>
    <n v="9"/>
    <s v="15%"/>
    <n v="5911.61"/>
  </r>
  <r>
    <s v="ORD1917"/>
    <s v="25-03-2025"/>
    <s v="Simran Kaur"/>
    <x v="0"/>
    <s v="Delhi"/>
    <x v="2"/>
    <s v="Laptop"/>
    <s v="HP Pavilion"/>
    <n v="66392"/>
    <n v="5"/>
    <s v="10%"/>
    <n v="7242.66"/>
  </r>
  <r>
    <s v="ORD1918"/>
    <s v="19-07-2025"/>
    <s v="Rohit Gupta"/>
    <x v="0"/>
    <s v="Delhi"/>
    <x v="0"/>
    <s v="Paper"/>
    <s v="A4 Paper Pack"/>
    <n v="71295"/>
    <n v="8"/>
    <s v="15%"/>
    <n v="9928.27"/>
  </r>
  <r>
    <s v="ORD1919"/>
    <s v="03-08-2025"/>
    <s v="Rahul Sharma"/>
    <x v="2"/>
    <s v="Karnataka"/>
    <x v="1"/>
    <s v="Chair"/>
    <s v="Office Chair"/>
    <n v="684"/>
    <n v="1"/>
    <s v="15%"/>
    <n v="130.11000000000001"/>
  </r>
  <r>
    <s v="ORD1920"/>
    <s v="19-07-2025"/>
    <s v="Anjali Mehta"/>
    <x v="2"/>
    <s v="Kerala"/>
    <x v="1"/>
    <s v="Chair"/>
    <s v="Office Chair"/>
    <n v="45652"/>
    <n v="6"/>
    <s v="15%"/>
    <n v="4255.5600000000004"/>
  </r>
  <r>
    <s v="ORD1921"/>
    <s v="08-11-2025"/>
    <s v="Karan Patel"/>
    <x v="1"/>
    <s v="West Bengal"/>
    <x v="0"/>
    <s v="Binder"/>
    <s v="A4 Binder"/>
    <n v="11639"/>
    <n v="7"/>
    <s v="5%"/>
    <n v="1730.2"/>
  </r>
  <r>
    <s v="ORD1922"/>
    <s v="31-10-2025"/>
    <s v="Rahul Sharma"/>
    <x v="2"/>
    <s v="Tamil Nadu"/>
    <x v="0"/>
    <s v="Pen"/>
    <s v="Gel Pen Set"/>
    <n v="16576"/>
    <n v="6"/>
    <s v="10%"/>
    <n v="1229.8399999999999"/>
  </r>
  <r>
    <s v="ORD1923"/>
    <s v="24-04-2025"/>
    <s v="Priya Verma"/>
    <x v="2"/>
    <s v="Karnataka"/>
    <x v="2"/>
    <s v="Accessories"/>
    <s v="Wireless Mouse"/>
    <n v="1667"/>
    <n v="7"/>
    <s v="15%"/>
    <n v="418.31"/>
  </r>
  <r>
    <s v="ORD1924"/>
    <s v="12-04-2025"/>
    <s v="Simran Kaur"/>
    <x v="2"/>
    <s v="Karnataka"/>
    <x v="0"/>
    <s v="Paper"/>
    <s v="A4 Paper Pack"/>
    <n v="27762"/>
    <n v="9"/>
    <s v="20%"/>
    <n v="4543.0200000000004"/>
  </r>
  <r>
    <s v="ORD1925"/>
    <s v="30-04-2025"/>
    <s v="Simran Kaur"/>
    <x v="3"/>
    <s v="Rajasthan"/>
    <x v="0"/>
    <s v="Pen"/>
    <s v="Gel Pen Set"/>
    <n v="45071"/>
    <n v="2"/>
    <s v="0%"/>
    <n v="9978.66"/>
  </r>
  <r>
    <s v="ORD1926"/>
    <s v="25-02-2025"/>
    <s v="Rohit Gupta"/>
    <x v="3"/>
    <s v="Rajasthan"/>
    <x v="2"/>
    <s v="Accessories"/>
    <s v="Wireless Mouse"/>
    <n v="36366"/>
    <n v="5"/>
    <s v="0%"/>
    <n v="4703.95"/>
  </r>
  <r>
    <s v="ORD1927"/>
    <s v="14-02-2025"/>
    <s v="Simran Kaur"/>
    <x v="2"/>
    <s v="Kerala"/>
    <x v="1"/>
    <s v="Bookcase"/>
    <s v="Wooden Bookcase"/>
    <n v="74723"/>
    <n v="9"/>
    <s v="0%"/>
    <n v="13925.07"/>
  </r>
  <r>
    <s v="ORD1928"/>
    <s v="21-12-2025"/>
    <s v="Priya Verma"/>
    <x v="2"/>
    <s v="Kerala"/>
    <x v="1"/>
    <s v="Bookcase"/>
    <s v="Wooden Bookcase"/>
    <n v="30952"/>
    <n v="4"/>
    <s v="5%"/>
    <n v="5637.56"/>
  </r>
  <r>
    <s v="ORD1929"/>
    <s v="31-03-2025"/>
    <s v="Rahul Sharma"/>
    <x v="0"/>
    <s v="Haryana"/>
    <x v="2"/>
    <s v="Mobile"/>
    <s v="Samsung Galaxy"/>
    <n v="48631"/>
    <n v="5"/>
    <s v="15%"/>
    <n v="12062.48"/>
  </r>
  <r>
    <s v="ORD1930"/>
    <s v="24-08-2025"/>
    <s v="Priya Verma"/>
    <x v="1"/>
    <s v="Bihar"/>
    <x v="0"/>
    <s v="Pen"/>
    <s v="Gel Pen Set"/>
    <n v="36471"/>
    <n v="3"/>
    <s v="10%"/>
    <n v="4549.47"/>
  </r>
  <r>
    <s v="ORD1931"/>
    <s v="30-08-2025"/>
    <s v="Arjun Rana"/>
    <x v="2"/>
    <s v="Kerala"/>
    <x v="2"/>
    <s v="Mobile"/>
    <s v="Samsung Galaxy"/>
    <n v="42199"/>
    <n v="3"/>
    <s v="5%"/>
    <n v="5786.81"/>
  </r>
  <r>
    <s v="ORD1932"/>
    <s v="18-05-2025"/>
    <s v="Anjali Mehta"/>
    <x v="3"/>
    <s v="Rajasthan"/>
    <x v="1"/>
    <s v="Chair"/>
    <s v="Office Chair"/>
    <n v="45657"/>
    <n v="10"/>
    <s v="10%"/>
    <n v="5807.33"/>
  </r>
  <r>
    <s v="ORD1933"/>
    <s v="27-12-2025"/>
    <s v="Amit Kumar"/>
    <x v="1"/>
    <s v="West Bengal"/>
    <x v="1"/>
    <s v="Table"/>
    <s v="Study Table"/>
    <n v="60035"/>
    <n v="8"/>
    <s v="0%"/>
    <n v="16092.7"/>
  </r>
  <r>
    <s v="ORD1934"/>
    <s v="20-08-2025"/>
    <s v="Neha Singh"/>
    <x v="3"/>
    <s v="Rajasthan"/>
    <x v="1"/>
    <s v="Bookcase"/>
    <s v="Wooden Bookcase"/>
    <n v="50218"/>
    <n v="2"/>
    <s v="20%"/>
    <n v="8354.6200000000008"/>
  </r>
  <r>
    <s v="ORD1935"/>
    <s v="27-05-2025"/>
    <s v="Rohit Gupta"/>
    <x v="2"/>
    <s v="Karnataka"/>
    <x v="2"/>
    <s v="Accessories"/>
    <s v="Wireless Mouse"/>
    <n v="53688"/>
    <n v="3"/>
    <s v="15%"/>
    <n v="3864.2"/>
  </r>
  <r>
    <s v="ORD1936"/>
    <s v="21-01-2025"/>
    <s v="Amit Kumar"/>
    <x v="0"/>
    <s v="Haryana"/>
    <x v="2"/>
    <s v="Laptop"/>
    <s v="HP Pavilion"/>
    <n v="42289"/>
    <n v="8"/>
    <s v="5%"/>
    <n v="6916.69"/>
  </r>
  <r>
    <s v="ORD1937"/>
    <s v="30-04-2025"/>
    <s v="Neha Singh"/>
    <x v="1"/>
    <s v="Odisha"/>
    <x v="1"/>
    <s v="Chair"/>
    <s v="Office Chair"/>
    <n v="21999"/>
    <n v="4"/>
    <s v="20%"/>
    <n v="4883.8599999999997"/>
  </r>
  <r>
    <s v="ORD1938"/>
    <s v="07-03-2025"/>
    <s v="Priya Verma"/>
    <x v="2"/>
    <s v="Tamil Nadu"/>
    <x v="1"/>
    <s v="Table"/>
    <s v="Study Table"/>
    <n v="64827"/>
    <n v="3"/>
    <s v="20%"/>
    <n v="11605.01"/>
  </r>
  <r>
    <s v="ORD1939"/>
    <s v="06-06-2025"/>
    <s v="Simran Kaur"/>
    <x v="2"/>
    <s v="Karnataka"/>
    <x v="2"/>
    <s v="Laptop"/>
    <s v="HP Pavilion"/>
    <n v="29906"/>
    <n v="8"/>
    <s v="10%"/>
    <n v="4055.2"/>
  </r>
  <r>
    <s v="ORD1940"/>
    <s v="30-07-2025"/>
    <s v="Rohit Gupta"/>
    <x v="3"/>
    <s v="Rajasthan"/>
    <x v="2"/>
    <s v="Mobile"/>
    <s v="Samsung Galaxy"/>
    <n v="14020"/>
    <n v="3"/>
    <s v="20%"/>
    <n v="2839.35"/>
  </r>
  <r>
    <s v="ORD1941"/>
    <s v="10-02-2025"/>
    <s v="Neha Singh"/>
    <x v="0"/>
    <s v="Punjab"/>
    <x v="1"/>
    <s v="Bookcase"/>
    <s v="Wooden Bookcase"/>
    <n v="69085"/>
    <n v="8"/>
    <s v="0%"/>
    <n v="14009.84"/>
  </r>
  <r>
    <s v="ORD1942"/>
    <s v="21-04-2025"/>
    <s v="Rohit Gupta"/>
    <x v="0"/>
    <s v="Delhi"/>
    <x v="1"/>
    <s v="Bookcase"/>
    <s v="Wooden Bookcase"/>
    <n v="2370"/>
    <n v="2"/>
    <s v="0%"/>
    <n v="422.64"/>
  </r>
  <r>
    <s v="ORD1943"/>
    <s v="13-02-2025"/>
    <s v="Simran Kaur"/>
    <x v="1"/>
    <s v="Odisha"/>
    <x v="2"/>
    <s v="Accessories"/>
    <s v="Wireless Mouse"/>
    <n v="54999"/>
    <n v="10"/>
    <s v="0%"/>
    <n v="12957.84"/>
  </r>
  <r>
    <s v="ORD1944"/>
    <s v="30-05-2025"/>
    <s v="Priya Verma"/>
    <x v="2"/>
    <s v="Tamil Nadu"/>
    <x v="1"/>
    <s v="Chair"/>
    <s v="Office Chair"/>
    <n v="23511"/>
    <n v="5"/>
    <s v="15%"/>
    <n v="3177.07"/>
  </r>
  <r>
    <s v="ORD1945"/>
    <s v="25-01-2025"/>
    <s v="Rahul Sharma"/>
    <x v="0"/>
    <s v="Haryana"/>
    <x v="2"/>
    <s v="Accessories"/>
    <s v="Wireless Mouse"/>
    <n v="63720"/>
    <n v="7"/>
    <s v="0%"/>
    <n v="17790.43"/>
  </r>
  <r>
    <s v="ORD1946"/>
    <s v="28-08-2025"/>
    <s v="Priya Verma"/>
    <x v="0"/>
    <s v="Punjab"/>
    <x v="0"/>
    <s v="Paper"/>
    <s v="A4 Paper Pack"/>
    <n v="65234"/>
    <n v="6"/>
    <s v="5%"/>
    <n v="9582.86"/>
  </r>
  <r>
    <s v="ORD1947"/>
    <s v="20-05-2025"/>
    <s v="Neha Singh"/>
    <x v="1"/>
    <s v="West Bengal"/>
    <x v="2"/>
    <s v="Laptop"/>
    <s v="HP Pavilion"/>
    <n v="69868"/>
    <n v="7"/>
    <s v="10%"/>
    <n v="8834.7800000000007"/>
  </r>
  <r>
    <s v="ORD1948"/>
    <s v="15-06-2025"/>
    <s v="Anjali Mehta"/>
    <x v="0"/>
    <s v="Delhi"/>
    <x v="1"/>
    <s v="Table"/>
    <s v="Study Table"/>
    <n v="66037"/>
    <n v="4"/>
    <s v="20%"/>
    <n v="14721.6"/>
  </r>
  <r>
    <s v="ORD1949"/>
    <s v="25-01-2025"/>
    <s v="Priya Verma"/>
    <x v="3"/>
    <s v="Maharashtra"/>
    <x v="0"/>
    <s v="Binder"/>
    <s v="A4 Binder"/>
    <n v="49875"/>
    <n v="8"/>
    <s v="0%"/>
    <n v="6700.43"/>
  </r>
  <r>
    <s v="ORD1950"/>
    <s v="19-06-2025"/>
    <s v="Rohit Gupta"/>
    <x v="0"/>
    <s v="Haryana"/>
    <x v="2"/>
    <s v="Laptop"/>
    <s v="HP Pavilion"/>
    <n v="75436"/>
    <n v="5"/>
    <s v="20%"/>
    <n v="13533.75"/>
  </r>
  <r>
    <s v="ORD1951"/>
    <s v="08-05-2025"/>
    <s v="Rahul Sharma"/>
    <x v="2"/>
    <s v="Kerala"/>
    <x v="0"/>
    <s v="Binder"/>
    <s v="A4 Binder"/>
    <n v="63771"/>
    <n v="7"/>
    <s v="20%"/>
    <n v="11555.6"/>
  </r>
  <r>
    <s v="ORD1952"/>
    <s v="10-08-2025"/>
    <s v="Rohit Gupta"/>
    <x v="2"/>
    <s v="Tamil Nadu"/>
    <x v="0"/>
    <s v="Binder"/>
    <s v="A4 Binder"/>
    <n v="52427"/>
    <n v="1"/>
    <s v="0%"/>
    <n v="7621.91"/>
  </r>
  <r>
    <s v="ORD1953"/>
    <s v="22-07-2025"/>
    <s v="Arjun Rana"/>
    <x v="1"/>
    <s v="Bihar"/>
    <x v="0"/>
    <s v="Paper"/>
    <s v="A4 Paper Pack"/>
    <n v="72053"/>
    <n v="10"/>
    <s v="0%"/>
    <n v="14841.49"/>
  </r>
  <r>
    <s v="ORD1954"/>
    <s v="29-07-2025"/>
    <s v="Neha Singh"/>
    <x v="2"/>
    <s v="Karnataka"/>
    <x v="2"/>
    <s v="Accessories"/>
    <s v="Wireless Mouse"/>
    <n v="68365"/>
    <n v="10"/>
    <s v="5%"/>
    <n v="14320.9"/>
  </r>
  <r>
    <s v="ORD1955"/>
    <s v="27-05-2025"/>
    <s v="Anjali Mehta"/>
    <x v="0"/>
    <s v="Delhi"/>
    <x v="1"/>
    <s v="Bookcase"/>
    <s v="Wooden Bookcase"/>
    <n v="70144"/>
    <n v="7"/>
    <s v="15%"/>
    <n v="14355.95"/>
  </r>
  <r>
    <s v="ORD1956"/>
    <s v="13-07-2025"/>
    <s v="Karan Patel"/>
    <x v="1"/>
    <s v="Odisha"/>
    <x v="2"/>
    <s v="Laptop"/>
    <s v="HP Pavilion"/>
    <n v="47756"/>
    <n v="1"/>
    <s v="0%"/>
    <n v="8475.08"/>
  </r>
  <r>
    <s v="ORD1957"/>
    <s v="18-02-2025"/>
    <s v="Simran Kaur"/>
    <x v="0"/>
    <s v="Punjab"/>
    <x v="0"/>
    <s v="Pen"/>
    <s v="Gel Pen Set"/>
    <n v="75619"/>
    <n v="9"/>
    <s v="15%"/>
    <n v="10115.549999999999"/>
  </r>
  <r>
    <s v="ORD1958"/>
    <s v="05-09-2025"/>
    <s v="Rahul Sharma"/>
    <x v="3"/>
    <s v="Gujarat"/>
    <x v="2"/>
    <s v="Laptop"/>
    <s v="HP Pavilion"/>
    <n v="67091"/>
    <n v="9"/>
    <s v="5%"/>
    <n v="10759.21"/>
  </r>
  <r>
    <s v="ORD1959"/>
    <s v="13-08-2025"/>
    <s v="Anjali Mehta"/>
    <x v="3"/>
    <s v="Gujarat"/>
    <x v="0"/>
    <s v="Paper"/>
    <s v="A4 Paper Pack"/>
    <n v="13919"/>
    <n v="1"/>
    <s v="10%"/>
    <n v="1435.2"/>
  </r>
  <r>
    <s v="ORD1960"/>
    <s v="08-10-2025"/>
    <s v="Neha Singh"/>
    <x v="0"/>
    <s v="Haryana"/>
    <x v="2"/>
    <s v="Laptop"/>
    <s v="HP Pavilion"/>
    <n v="71824"/>
    <n v="6"/>
    <s v="0%"/>
    <n v="13012.68"/>
  </r>
  <r>
    <s v="ORD1961"/>
    <s v="11-08-2025"/>
    <s v="Anjali Mehta"/>
    <x v="1"/>
    <s v="Odisha"/>
    <x v="2"/>
    <s v="Accessories"/>
    <s v="Wireless Mouse"/>
    <n v="10398"/>
    <n v="9"/>
    <s v="10%"/>
    <n v="2091.16"/>
  </r>
  <r>
    <s v="ORD1962"/>
    <s v="21-09-2025"/>
    <s v="Anjali Mehta"/>
    <x v="1"/>
    <s v="Odisha"/>
    <x v="1"/>
    <s v="Bookcase"/>
    <s v="Wooden Bookcase"/>
    <n v="657"/>
    <n v="1"/>
    <s v="10%"/>
    <n v="164.06"/>
  </r>
  <r>
    <s v="ORD1963"/>
    <s v="18-07-2025"/>
    <s v="Anjali Mehta"/>
    <x v="2"/>
    <s v="Tamil Nadu"/>
    <x v="1"/>
    <s v="Table"/>
    <s v="Study Table"/>
    <n v="62007"/>
    <n v="5"/>
    <s v="5%"/>
    <n v="5396.29"/>
  </r>
  <r>
    <s v="ORD1964"/>
    <s v="20-02-2025"/>
    <s v="Rahul Sharma"/>
    <x v="1"/>
    <s v="Bihar"/>
    <x v="2"/>
    <s v="Laptop"/>
    <s v="HP Pavilion"/>
    <n v="6035"/>
    <n v="5"/>
    <s v="15%"/>
    <n v="803.09"/>
  </r>
  <r>
    <s v="ORD1965"/>
    <s v="15-06-2025"/>
    <s v="Neha Singh"/>
    <x v="0"/>
    <s v="Haryana"/>
    <x v="2"/>
    <s v="Accessories"/>
    <s v="Wireless Mouse"/>
    <n v="34647"/>
    <n v="6"/>
    <s v="20%"/>
    <n v="8457.8799999999992"/>
  </r>
  <r>
    <s v="ORD1966"/>
    <s v="14-08-2025"/>
    <s v="Neha Singh"/>
    <x v="2"/>
    <s v="Karnataka"/>
    <x v="1"/>
    <s v="Bookcase"/>
    <s v="Wooden Bookcase"/>
    <n v="48228"/>
    <n v="6"/>
    <s v="15%"/>
    <n v="9207.67"/>
  </r>
  <r>
    <s v="ORD1967"/>
    <s v="08-01-2025"/>
    <s v="Simran Kaur"/>
    <x v="0"/>
    <s v="Delhi"/>
    <x v="0"/>
    <s v="Pen"/>
    <s v="Gel Pen Set"/>
    <n v="73303"/>
    <n v="5"/>
    <s v="0%"/>
    <n v="20156.29"/>
  </r>
  <r>
    <s v="ORD1968"/>
    <s v="21-11-2025"/>
    <s v="Amit Kumar"/>
    <x v="2"/>
    <s v="Tamil Nadu"/>
    <x v="0"/>
    <s v="Binder"/>
    <s v="A4 Binder"/>
    <n v="70913"/>
    <n v="1"/>
    <s v="5%"/>
    <n v="5631.11"/>
  </r>
  <r>
    <s v="ORD1969"/>
    <s v="18-09-2025"/>
    <s v="Rahul Sharma"/>
    <x v="3"/>
    <s v="Rajasthan"/>
    <x v="1"/>
    <s v="Table"/>
    <s v="Study Table"/>
    <n v="39417"/>
    <n v="6"/>
    <s v="15%"/>
    <n v="8509.9699999999993"/>
  </r>
  <r>
    <s v="ORD1970"/>
    <s v="30-07-2025"/>
    <s v="Arjun Rana"/>
    <x v="3"/>
    <s v="Gujarat"/>
    <x v="1"/>
    <s v="Bookcase"/>
    <s v="Wooden Bookcase"/>
    <n v="33029"/>
    <n v="4"/>
    <s v="15%"/>
    <n v="7881.26"/>
  </r>
  <r>
    <s v="ORD1971"/>
    <s v="18-06-2025"/>
    <s v="Neha Singh"/>
    <x v="1"/>
    <s v="Bihar"/>
    <x v="1"/>
    <s v="Chair"/>
    <s v="Office Chair"/>
    <n v="9367"/>
    <n v="7"/>
    <s v="5%"/>
    <n v="2212.98"/>
  </r>
  <r>
    <s v="ORD1972"/>
    <s v="07-01-2025"/>
    <s v="Neha Singh"/>
    <x v="2"/>
    <s v="Karnataka"/>
    <x v="2"/>
    <s v="Laptop"/>
    <s v="HP Pavilion"/>
    <n v="70955"/>
    <n v="4"/>
    <s v="20%"/>
    <n v="11398.53"/>
  </r>
  <r>
    <s v="ORD1973"/>
    <s v="01-06-2025"/>
    <s v="Simran Kaur"/>
    <x v="1"/>
    <s v="West Bengal"/>
    <x v="1"/>
    <s v="Bookcase"/>
    <s v="Wooden Bookcase"/>
    <n v="79415"/>
    <n v="9"/>
    <s v="5%"/>
    <n v="6835.99"/>
  </r>
  <r>
    <s v="ORD1974"/>
    <s v="06-03-2025"/>
    <s v="Anjali Mehta"/>
    <x v="1"/>
    <s v="West Bengal"/>
    <x v="0"/>
    <s v="Binder"/>
    <s v="A4 Binder"/>
    <n v="62179"/>
    <n v="1"/>
    <s v="5%"/>
    <n v="13108.88"/>
  </r>
  <r>
    <s v="ORD1975"/>
    <s v="15-07-2025"/>
    <s v="Priya Verma"/>
    <x v="2"/>
    <s v="Kerala"/>
    <x v="2"/>
    <s v="Laptop"/>
    <s v="HP Pavilion"/>
    <n v="74705"/>
    <n v="2"/>
    <s v="5%"/>
    <n v="7648.16"/>
  </r>
  <r>
    <s v="ORD1976"/>
    <s v="08-07-2025"/>
    <s v="Rahul Sharma"/>
    <x v="0"/>
    <s v="Punjab"/>
    <x v="2"/>
    <s v="Accessories"/>
    <s v="Wireless Mouse"/>
    <n v="8451"/>
    <n v="3"/>
    <s v="15%"/>
    <n v="925.3"/>
  </r>
  <r>
    <s v="ORD1977"/>
    <s v="08-03-2025"/>
    <s v="Anjali Mehta"/>
    <x v="3"/>
    <s v="Gujarat"/>
    <x v="0"/>
    <s v="Paper"/>
    <s v="A4 Paper Pack"/>
    <n v="57878"/>
    <n v="5"/>
    <s v="5%"/>
    <n v="5213.0200000000004"/>
  </r>
  <r>
    <s v="ORD1978"/>
    <s v="13-05-2025"/>
    <s v="Anjali Mehta"/>
    <x v="2"/>
    <s v="Kerala"/>
    <x v="1"/>
    <s v="Bookcase"/>
    <s v="Wooden Bookcase"/>
    <n v="66443"/>
    <n v="3"/>
    <s v="15%"/>
    <n v="11653.33"/>
  </r>
  <r>
    <s v="ORD1979"/>
    <s v="27-02-2025"/>
    <s v="Karan Patel"/>
    <x v="2"/>
    <s v="Kerala"/>
    <x v="1"/>
    <s v="Table"/>
    <s v="Study Table"/>
    <n v="36614"/>
    <n v="5"/>
    <s v="0%"/>
    <n v="5990.07"/>
  </r>
  <r>
    <s v="ORD1980"/>
    <s v="29-10-2025"/>
    <s v="Simran Kaur"/>
    <x v="1"/>
    <s v="Bihar"/>
    <x v="1"/>
    <s v="Table"/>
    <s v="Study Table"/>
    <n v="39350"/>
    <n v="2"/>
    <s v="5%"/>
    <n v="5484.56"/>
  </r>
  <r>
    <s v="ORD1981"/>
    <s v="29-07-2025"/>
    <s v="Priya Verma"/>
    <x v="1"/>
    <s v="Odisha"/>
    <x v="2"/>
    <s v="Mobile"/>
    <s v="Samsung Galaxy"/>
    <n v="33055"/>
    <n v="3"/>
    <s v="15%"/>
    <n v="4927.83"/>
  </r>
  <r>
    <s v="ORD1982"/>
    <s v="21-07-2025"/>
    <s v="Rohit Gupta"/>
    <x v="0"/>
    <s v="Punjab"/>
    <x v="2"/>
    <s v="Mobile"/>
    <s v="Samsung Galaxy"/>
    <n v="17664"/>
    <n v="5"/>
    <s v="10%"/>
    <n v="2132.61"/>
  </r>
  <r>
    <s v="ORD1983"/>
    <s v="17-11-2025"/>
    <s v="Anjali Mehta"/>
    <x v="1"/>
    <s v="Odisha"/>
    <x v="0"/>
    <s v="Paper"/>
    <s v="A4 Paper Pack"/>
    <n v="51096"/>
    <n v="3"/>
    <s v="15%"/>
    <n v="8278.2000000000007"/>
  </r>
  <r>
    <s v="ORD1984"/>
    <s v="14-06-2025"/>
    <s v="Amit Kumar"/>
    <x v="3"/>
    <s v="Gujarat"/>
    <x v="0"/>
    <s v="Pen"/>
    <s v="Gel Pen Set"/>
    <n v="38444"/>
    <n v="4"/>
    <s v="15%"/>
    <n v="6804.69"/>
  </r>
  <r>
    <s v="ORD1985"/>
    <s v="24-11-2025"/>
    <s v="Priya Verma"/>
    <x v="1"/>
    <s v="Bihar"/>
    <x v="0"/>
    <s v="Binder"/>
    <s v="A4 Binder"/>
    <n v="60025"/>
    <n v="7"/>
    <s v="0%"/>
    <n v="14458.78"/>
  </r>
  <r>
    <s v="ORD1986"/>
    <s v="29-11-2025"/>
    <s v="Rahul Sharma"/>
    <x v="1"/>
    <s v="West Bengal"/>
    <x v="2"/>
    <s v="Mobile"/>
    <s v="Samsung Galaxy"/>
    <n v="70930"/>
    <n v="2"/>
    <s v="0%"/>
    <n v="13704.83"/>
  </r>
  <r>
    <s v="ORD1987"/>
    <s v="09-11-2025"/>
    <s v="Anjali Mehta"/>
    <x v="1"/>
    <s v="Bihar"/>
    <x v="2"/>
    <s v="Mobile"/>
    <s v="Samsung Galaxy"/>
    <n v="65930"/>
    <n v="10"/>
    <s v="15%"/>
    <n v="4325.13"/>
  </r>
  <r>
    <s v="ORD1988"/>
    <s v="09-03-2025"/>
    <s v="Neha Singh"/>
    <x v="0"/>
    <s v="Haryana"/>
    <x v="0"/>
    <s v="Pen"/>
    <s v="Gel Pen Set"/>
    <n v="16177"/>
    <n v="2"/>
    <s v="5%"/>
    <n v="4166.1099999999997"/>
  </r>
  <r>
    <s v="ORD1989"/>
    <s v="27-01-2025"/>
    <s v="Rahul Sharma"/>
    <x v="1"/>
    <s v="Odisha"/>
    <x v="2"/>
    <s v="Accessories"/>
    <s v="Wireless Mouse"/>
    <n v="3834"/>
    <n v="4"/>
    <s v="0%"/>
    <n v="313.3"/>
  </r>
  <r>
    <s v="ORD1990"/>
    <s v="11-02-2025"/>
    <s v="Priya Verma"/>
    <x v="0"/>
    <s v="Delhi"/>
    <x v="0"/>
    <s v="Paper"/>
    <s v="A4 Paper Pack"/>
    <n v="67886"/>
    <n v="5"/>
    <s v="10%"/>
    <n v="5732.17"/>
  </r>
  <r>
    <s v="ORD1991"/>
    <s v="02-08-2025"/>
    <s v="Rahul Sharma"/>
    <x v="1"/>
    <s v="West Bengal"/>
    <x v="0"/>
    <s v="Paper"/>
    <s v="A4 Paper Pack"/>
    <n v="72777"/>
    <n v="8"/>
    <s v="20%"/>
    <n v="17022.66"/>
  </r>
  <r>
    <s v="ORD1992"/>
    <s v="05-11-2025"/>
    <s v="Simran Kaur"/>
    <x v="1"/>
    <s v="Bihar"/>
    <x v="0"/>
    <s v="Binder"/>
    <s v="A4 Binder"/>
    <n v="29956"/>
    <n v="7"/>
    <s v="15%"/>
    <n v="4240.8900000000003"/>
  </r>
  <r>
    <s v="ORD1993"/>
    <s v="13-10-2025"/>
    <s v="Karan Patel"/>
    <x v="1"/>
    <s v="West Bengal"/>
    <x v="1"/>
    <s v="Table"/>
    <s v="Study Table"/>
    <n v="16597"/>
    <n v="10"/>
    <s v="15%"/>
    <n v="1993.08"/>
  </r>
  <r>
    <s v="ORD1994"/>
    <s v="01-08-2025"/>
    <s v="Rahul Sharma"/>
    <x v="3"/>
    <s v="Rajasthan"/>
    <x v="0"/>
    <s v="Pen"/>
    <s v="Gel Pen Set"/>
    <n v="45923"/>
    <n v="3"/>
    <s v="20%"/>
    <n v="4236.82"/>
  </r>
  <r>
    <s v="ORD1995"/>
    <s v="24-01-2025"/>
    <s v="Arjun Rana"/>
    <x v="3"/>
    <s v="Gujarat"/>
    <x v="1"/>
    <s v="Bookcase"/>
    <s v="Wooden Bookcase"/>
    <n v="21202"/>
    <n v="1"/>
    <s v="20%"/>
    <n v="2032.2"/>
  </r>
  <r>
    <s v="ORD1996"/>
    <s v="27-04-2025"/>
    <s v="Sneha Joshi"/>
    <x v="2"/>
    <s v="Karnataka"/>
    <x v="0"/>
    <s v="Pen"/>
    <s v="Gel Pen Set"/>
    <n v="63053"/>
    <n v="2"/>
    <s v="15%"/>
    <n v="4516.43"/>
  </r>
  <r>
    <s v="ORD1997"/>
    <s v="09-11-2025"/>
    <s v="Rahul Sharma"/>
    <x v="2"/>
    <s v="Karnataka"/>
    <x v="0"/>
    <s v="Binder"/>
    <s v="A4 Binder"/>
    <n v="48714"/>
    <n v="7"/>
    <s v="20%"/>
    <n v="9539.74"/>
  </r>
  <r>
    <s v="ORD1998"/>
    <s v="22-01-2025"/>
    <s v="Anjali Mehta"/>
    <x v="1"/>
    <s v="Bihar"/>
    <x v="2"/>
    <s v="Accessories"/>
    <s v="Wireless Mouse"/>
    <n v="60628"/>
    <n v="7"/>
    <s v="10%"/>
    <n v="10650.2"/>
  </r>
  <r>
    <s v="ORD1999"/>
    <s v="10-10-2025"/>
    <s v="Anjali Mehta"/>
    <x v="0"/>
    <s v="Haryana"/>
    <x v="2"/>
    <s v="Accessories"/>
    <s v="Wireless Mouse"/>
    <n v="4946"/>
    <n v="6"/>
    <s v="15%"/>
    <n v="875.33"/>
  </r>
  <r>
    <s v="ORD2000"/>
    <s v="13-10-2025"/>
    <s v="Arjun Rana"/>
    <x v="1"/>
    <s v="West Bengal"/>
    <x v="0"/>
    <s v="Pen"/>
    <s v="Gel Pen Set"/>
    <n v="31717"/>
    <n v="10"/>
    <s v="0%"/>
    <n v="8233.96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1001"/>
    <d v="2025-04-02T00:00:00"/>
    <s v="Karan Patel"/>
    <x v="0"/>
    <s v="Haryana"/>
    <s v="Office Supplies"/>
    <s v="Pen"/>
    <s v="Gel Pen Set"/>
    <n v="64079"/>
    <n v="7"/>
    <s v="0%"/>
    <n v="11572.42"/>
    <x v="0"/>
    <x v="0"/>
  </r>
  <r>
    <s v="ORD1002"/>
    <d v="2025-11-13T00:00:00"/>
    <s v="Karan Patel"/>
    <x v="1"/>
    <s v="West Bengal"/>
    <s v="Furniture"/>
    <s v="Bookcase"/>
    <s v="Wooden Bookcase"/>
    <n v="15393"/>
    <n v="6"/>
    <s v="15%"/>
    <n v="3368.83"/>
    <x v="1"/>
    <x v="0"/>
  </r>
  <r>
    <s v="ORD1003"/>
    <d v="2025-08-09T00:00:00"/>
    <s v="Simran Kaur"/>
    <x v="2"/>
    <s v="Karnataka"/>
    <s v="Furniture"/>
    <s v="Bookcase"/>
    <s v="Wooden Bookcase"/>
    <n v="79449"/>
    <n v="9"/>
    <s v="20%"/>
    <n v="20039.900000000001"/>
    <x v="2"/>
    <x v="0"/>
  </r>
  <r>
    <s v="ORD1004"/>
    <d v="2025-05-08T00:00:00"/>
    <s v="Neha Singh"/>
    <x v="3"/>
    <s v="Gujarat"/>
    <s v="Furniture"/>
    <s v="Table"/>
    <s v="Study Table"/>
    <n v="45792"/>
    <n v="2"/>
    <s v="20%"/>
    <n v="6651.79"/>
    <x v="3"/>
    <x v="0"/>
  </r>
  <r>
    <s v="ORD1005"/>
    <d v="2025-07-21T00:00:00"/>
    <s v="Priya Verma"/>
    <x v="2"/>
    <s v="Kerala"/>
    <s v="Technology"/>
    <s v="Laptop"/>
    <s v="HP Pavilion"/>
    <n v="24475"/>
    <n v="9"/>
    <s v="5%"/>
    <n v="4452.66"/>
    <x v="4"/>
    <x v="0"/>
  </r>
  <r>
    <s v="ORD1006"/>
    <d v="2025-11-09T00:00:00"/>
    <s v="Karan Patel"/>
    <x v="3"/>
    <s v="Maharashtra"/>
    <s v="Technology"/>
    <s v="Laptop"/>
    <s v="HP Pavilion"/>
    <n v="16445"/>
    <n v="7"/>
    <s v="10%"/>
    <n v="1972.03"/>
    <x v="1"/>
    <x v="0"/>
  </r>
  <r>
    <s v="ORD1007"/>
    <d v="2025-09-12T00:00:00"/>
    <s v="Anjali Mehta"/>
    <x v="3"/>
    <s v="Maharashtra"/>
    <s v="Furniture"/>
    <s v="Chair"/>
    <s v="Office Chair"/>
    <n v="66960"/>
    <n v="10"/>
    <s v="10%"/>
    <n v="16705.88"/>
    <x v="5"/>
    <x v="0"/>
  </r>
  <r>
    <s v="ORD1008"/>
    <d v="2025-11-15T00:00:00"/>
    <s v="Simran Kaur"/>
    <x v="2"/>
    <s v="Kerala"/>
    <s v="Technology"/>
    <s v="Laptop"/>
    <s v="HP Pavilion"/>
    <n v="22396"/>
    <n v="9"/>
    <s v="15%"/>
    <n v="3903.8"/>
    <x v="1"/>
    <x v="0"/>
  </r>
  <r>
    <s v="ORD1009"/>
    <d v="2025-08-14T00:00:00"/>
    <s v="Arjun Rana"/>
    <x v="3"/>
    <s v="Gujarat"/>
    <s v="Furniture"/>
    <s v="Table"/>
    <s v="Study Table"/>
    <n v="14061"/>
    <n v="3"/>
    <s v="0%"/>
    <n v="3724.12"/>
    <x v="2"/>
    <x v="0"/>
  </r>
  <r>
    <s v="ORD1010"/>
    <d v="2025-03-08T00:00:00"/>
    <s v="Rohit Gupta"/>
    <x v="3"/>
    <s v="Rajasthan"/>
    <s v="Technology"/>
    <s v="Laptop"/>
    <s v="HP Pavilion"/>
    <n v="45945"/>
    <n v="10"/>
    <s v="10%"/>
    <n v="8964.8700000000008"/>
    <x v="6"/>
    <x v="0"/>
  </r>
  <r>
    <s v="ORD1011"/>
    <d v="2025-11-20T00:00:00"/>
    <s v="Priya Verma"/>
    <x v="2"/>
    <s v="Karnataka"/>
    <s v="Office Supplies"/>
    <s v="Pen"/>
    <s v="Gel Pen Set"/>
    <n v="36004"/>
    <n v="10"/>
    <s v="20%"/>
    <n v="7858.68"/>
    <x v="1"/>
    <x v="0"/>
  </r>
  <r>
    <s v="ORD1012"/>
    <d v="2025-04-23T00:00:00"/>
    <s v="Rahul Sharma"/>
    <x v="0"/>
    <s v="Delhi"/>
    <s v="Furniture"/>
    <s v="Bookcase"/>
    <s v="Wooden Bookcase"/>
    <n v="12137"/>
    <n v="3"/>
    <s v="20%"/>
    <n v="2959.87"/>
    <x v="0"/>
    <x v="0"/>
  </r>
  <r>
    <s v="ORD1013"/>
    <d v="2025-12-16T00:00:00"/>
    <s v="Simran Kaur"/>
    <x v="3"/>
    <s v="Rajasthan"/>
    <s v="Office Supplies"/>
    <s v="Binder"/>
    <s v="A4 Binder"/>
    <n v="1713"/>
    <n v="3"/>
    <s v="5%"/>
    <n v="222.67"/>
    <x v="7"/>
    <x v="0"/>
  </r>
  <r>
    <s v="ORD1014"/>
    <d v="2025-01-25T00:00:00"/>
    <s v="Priya Verma"/>
    <x v="3"/>
    <s v="Maharashtra"/>
    <s v="Office Supplies"/>
    <s v="Pen"/>
    <s v="Gel Pen Set"/>
    <n v="32314"/>
    <n v="7"/>
    <s v="15%"/>
    <n v="6233.33"/>
    <x v="8"/>
    <x v="0"/>
  </r>
  <r>
    <s v="ORD1015"/>
    <d v="2025-06-28T00:00:00"/>
    <s v="Priya Verma"/>
    <x v="1"/>
    <s v="Odisha"/>
    <s v="Office Supplies"/>
    <s v="Pen"/>
    <s v="Gel Pen Set"/>
    <n v="65103"/>
    <n v="9"/>
    <s v="5%"/>
    <n v="10681.66"/>
    <x v="9"/>
    <x v="0"/>
  </r>
  <r>
    <s v="ORD1016"/>
    <d v="2025-11-29T00:00:00"/>
    <s v="Karan Patel"/>
    <x v="0"/>
    <s v="Haryana"/>
    <s v="Office Supplies"/>
    <s v="Binder"/>
    <s v="A4 Binder"/>
    <n v="40658"/>
    <n v="8"/>
    <s v="5%"/>
    <n v="6102.48"/>
    <x v="1"/>
    <x v="0"/>
  </r>
  <r>
    <s v="ORD1017"/>
    <d v="2025-01-11T00:00:00"/>
    <s v="Priya Verma"/>
    <x v="0"/>
    <s v="Delhi"/>
    <s v="Technology"/>
    <s v="Mobile"/>
    <s v="Samsung Galaxy"/>
    <n v="50447"/>
    <n v="10"/>
    <s v="20%"/>
    <n v="6815.05"/>
    <x v="8"/>
    <x v="0"/>
  </r>
  <r>
    <s v="ORD1018"/>
    <d v="2025-12-07T00:00:00"/>
    <s v="Sneha Joshi"/>
    <x v="3"/>
    <s v="Gujarat"/>
    <s v="Office Supplies"/>
    <s v="Binder"/>
    <s v="A4 Binder"/>
    <n v="43827"/>
    <n v="6"/>
    <s v="15%"/>
    <n v="10731.96"/>
    <x v="7"/>
    <x v="0"/>
  </r>
  <r>
    <s v="ORD1019"/>
    <d v="2025-04-21T00:00:00"/>
    <s v="Rahul Sharma"/>
    <x v="2"/>
    <s v="Kerala"/>
    <s v="Technology"/>
    <s v="Accessories"/>
    <s v="Wireless Mouse"/>
    <n v="78040"/>
    <n v="9"/>
    <s v="20%"/>
    <n v="7834.96"/>
    <x v="0"/>
    <x v="0"/>
  </r>
  <r>
    <s v="ORD1020"/>
    <d v="2025-08-19T00:00:00"/>
    <s v="Rohit Gupta"/>
    <x v="3"/>
    <s v="Maharashtra"/>
    <s v="Technology"/>
    <s v="Accessories"/>
    <s v="Wireless Mouse"/>
    <n v="41230"/>
    <n v="6"/>
    <s v="20%"/>
    <n v="5990.91"/>
    <x v="2"/>
    <x v="0"/>
  </r>
  <r>
    <s v="ORD1021"/>
    <d v="2025-06-19T00:00:00"/>
    <s v="Rohit Gupta"/>
    <x v="0"/>
    <s v="Delhi"/>
    <s v="Furniture"/>
    <s v="Table"/>
    <s v="Study Table"/>
    <n v="61563"/>
    <n v="5"/>
    <s v="20%"/>
    <n v="13300.04"/>
    <x v="9"/>
    <x v="0"/>
  </r>
  <r>
    <s v="ORD1022"/>
    <d v="2025-08-20T00:00:00"/>
    <s v="Priya Verma"/>
    <x v="3"/>
    <s v="Maharashtra"/>
    <s v="Office Supplies"/>
    <s v="Pen"/>
    <s v="Gel Pen Set"/>
    <n v="48741"/>
    <n v="10"/>
    <s v="5%"/>
    <n v="4911.53"/>
    <x v="2"/>
    <x v="0"/>
  </r>
  <r>
    <s v="ORD1023"/>
    <d v="2025-04-10T00:00:00"/>
    <s v="Rahul Sharma"/>
    <x v="2"/>
    <s v="Kerala"/>
    <s v="Office Supplies"/>
    <s v="Paper"/>
    <s v="A4 Paper Pack"/>
    <n v="21133"/>
    <n v="4"/>
    <s v="20%"/>
    <n v="3996.61"/>
    <x v="0"/>
    <x v="0"/>
  </r>
  <r>
    <s v="ORD1024"/>
    <d v="2025-10-31T00:00:00"/>
    <s v="Karan Patel"/>
    <x v="1"/>
    <s v="West Bengal"/>
    <s v="Technology"/>
    <s v="Laptop"/>
    <s v="HP Pavilion"/>
    <n v="54478"/>
    <n v="6"/>
    <s v="0%"/>
    <n v="13003.11"/>
    <x v="10"/>
    <x v="0"/>
  </r>
  <r>
    <s v="ORD1025"/>
    <d v="2025-12-28T00:00:00"/>
    <s v="Sneha Joshi"/>
    <x v="2"/>
    <s v="Karnataka"/>
    <s v="Office Supplies"/>
    <s v="Binder"/>
    <s v="A4 Binder"/>
    <n v="9761"/>
    <n v="3"/>
    <s v="0%"/>
    <n v="1522.74"/>
    <x v="7"/>
    <x v="0"/>
  </r>
  <r>
    <s v="ORD1026"/>
    <d v="2025-06-15T00:00:00"/>
    <s v="Sneha Joshi"/>
    <x v="3"/>
    <s v="Gujarat"/>
    <s v="Technology"/>
    <s v="Accessories"/>
    <s v="Wireless Mouse"/>
    <n v="67807"/>
    <n v="7"/>
    <s v="15%"/>
    <n v="10467.02"/>
    <x v="9"/>
    <x v="0"/>
  </r>
  <r>
    <s v="ORD1027"/>
    <d v="2025-07-02T00:00:00"/>
    <s v="Rahul Sharma"/>
    <x v="0"/>
    <s v="Haryana"/>
    <s v="Technology"/>
    <s v="Accessories"/>
    <s v="Wireless Mouse"/>
    <n v="33451"/>
    <n v="5"/>
    <s v="20%"/>
    <n v="5343.79"/>
    <x v="4"/>
    <x v="0"/>
  </r>
  <r>
    <s v="ORD1028"/>
    <d v="2025-02-12T00:00:00"/>
    <s v="Rahul Sharma"/>
    <x v="2"/>
    <s v="Tamil Nadu"/>
    <s v="Office Supplies"/>
    <s v="Paper"/>
    <s v="A4 Paper Pack"/>
    <n v="14220"/>
    <n v="8"/>
    <s v="15%"/>
    <n v="3743.48"/>
    <x v="11"/>
    <x v="0"/>
  </r>
  <r>
    <s v="ORD1029"/>
    <d v="2025-10-01T00:00:00"/>
    <s v="Rahul Sharma"/>
    <x v="3"/>
    <s v="Gujarat"/>
    <s v="Furniture"/>
    <s v="Bookcase"/>
    <s v="Wooden Bookcase"/>
    <n v="70693"/>
    <n v="3"/>
    <s v="10%"/>
    <n v="6773.02"/>
    <x v="10"/>
    <x v="0"/>
  </r>
  <r>
    <s v="ORD1030"/>
    <d v="2025-02-26T00:00:00"/>
    <s v="Amit Kumar"/>
    <x v="1"/>
    <s v="West Bengal"/>
    <s v="Furniture"/>
    <s v="Chair"/>
    <s v="Office Chair"/>
    <n v="43964"/>
    <n v="2"/>
    <s v="15%"/>
    <n v="4299.1099999999997"/>
    <x v="11"/>
    <x v="0"/>
  </r>
  <r>
    <s v="ORD1031"/>
    <d v="2025-10-20T00:00:00"/>
    <s v="Simran Kaur"/>
    <x v="0"/>
    <s v="Delhi"/>
    <s v="Technology"/>
    <s v="Laptop"/>
    <s v="HP Pavilion"/>
    <n v="72443"/>
    <n v="1"/>
    <s v="15%"/>
    <n v="8374.18"/>
    <x v="10"/>
    <x v="0"/>
  </r>
  <r>
    <s v="ORD1032"/>
    <d v="2025-02-04T00:00:00"/>
    <s v="Simran Kaur"/>
    <x v="3"/>
    <s v="Gujarat"/>
    <s v="Office Supplies"/>
    <s v="Binder"/>
    <s v="A4 Binder"/>
    <n v="29945"/>
    <n v="1"/>
    <s v="15%"/>
    <n v="4787.38"/>
    <x v="11"/>
    <x v="0"/>
  </r>
  <r>
    <s v="ORD1033"/>
    <d v="2025-02-12T00:00:00"/>
    <s v="Rahul Sharma"/>
    <x v="2"/>
    <s v="Karnataka"/>
    <s v="Technology"/>
    <s v="Laptop"/>
    <s v="HP Pavilion"/>
    <n v="56305"/>
    <n v="3"/>
    <s v="15%"/>
    <n v="13420.19"/>
    <x v="11"/>
    <x v="0"/>
  </r>
  <r>
    <s v="ORD1034"/>
    <d v="2025-07-01T00:00:00"/>
    <s v="Karan Patel"/>
    <x v="1"/>
    <s v="Bihar"/>
    <s v="Office Supplies"/>
    <s v="Pen"/>
    <s v="Gel Pen Set"/>
    <n v="17461"/>
    <n v="10"/>
    <s v="0%"/>
    <n v="2897.84"/>
    <x v="4"/>
    <x v="0"/>
  </r>
  <r>
    <s v="ORD1035"/>
    <d v="2025-02-10T00:00:00"/>
    <s v="Karan Patel"/>
    <x v="1"/>
    <s v="West Bengal"/>
    <s v="Furniture"/>
    <s v="Bookcase"/>
    <s v="Wooden Bookcase"/>
    <n v="61696"/>
    <n v="7"/>
    <s v="20%"/>
    <n v="4771.32"/>
    <x v="11"/>
    <x v="0"/>
  </r>
  <r>
    <s v="ORD1036"/>
    <d v="2025-01-26T00:00:00"/>
    <s v="Simran Kaur"/>
    <x v="3"/>
    <s v="Maharashtra"/>
    <s v="Technology"/>
    <s v="Laptop"/>
    <s v="HP Pavilion"/>
    <n v="25408"/>
    <n v="9"/>
    <s v="0%"/>
    <n v="6261.98"/>
    <x v="8"/>
    <x v="0"/>
  </r>
  <r>
    <s v="ORD1037"/>
    <d v="2025-12-12T00:00:00"/>
    <s v="Rohit Gupta"/>
    <x v="2"/>
    <s v="Karnataka"/>
    <s v="Office Supplies"/>
    <s v="Binder"/>
    <s v="A4 Binder"/>
    <n v="34525"/>
    <n v="4"/>
    <s v="15%"/>
    <n v="6076.08"/>
    <x v="7"/>
    <x v="0"/>
  </r>
  <r>
    <s v="ORD1038"/>
    <d v="2025-11-25T00:00:00"/>
    <s v="Neha Singh"/>
    <x v="2"/>
    <s v="Kerala"/>
    <s v="Furniture"/>
    <s v="Bookcase"/>
    <s v="Wooden Bookcase"/>
    <n v="21885"/>
    <n v="4"/>
    <s v="0%"/>
    <n v="3603.51"/>
    <x v="1"/>
    <x v="0"/>
  </r>
  <r>
    <s v="ORD1039"/>
    <d v="2025-07-22T00:00:00"/>
    <s v="Sneha Joshi"/>
    <x v="1"/>
    <s v="Odisha"/>
    <s v="Technology"/>
    <s v="Mobile"/>
    <s v="Samsung Galaxy"/>
    <n v="17100"/>
    <n v="2"/>
    <s v="15%"/>
    <n v="1699.21"/>
    <x v="4"/>
    <x v="0"/>
  </r>
  <r>
    <s v="ORD1040"/>
    <d v="2025-12-29T00:00:00"/>
    <s v="Neha Singh"/>
    <x v="3"/>
    <s v="Rajasthan"/>
    <s v="Furniture"/>
    <s v="Table"/>
    <s v="Study Table"/>
    <n v="52243"/>
    <n v="7"/>
    <s v="20%"/>
    <n v="13263.44"/>
    <x v="7"/>
    <x v="0"/>
  </r>
  <r>
    <s v="ORD1041"/>
    <d v="2025-06-09T00:00:00"/>
    <s v="Rahul Sharma"/>
    <x v="1"/>
    <s v="Bihar"/>
    <s v="Furniture"/>
    <s v="Bookcase"/>
    <s v="Wooden Bookcase"/>
    <n v="64196"/>
    <n v="2"/>
    <s v="10%"/>
    <n v="6694.5"/>
    <x v="9"/>
    <x v="0"/>
  </r>
  <r>
    <s v="ORD1042"/>
    <d v="2025-06-21T00:00:00"/>
    <s v="Amit Kumar"/>
    <x v="2"/>
    <s v="Tamil Nadu"/>
    <s v="Technology"/>
    <s v="Accessories"/>
    <s v="Wireless Mouse"/>
    <n v="33488"/>
    <n v="6"/>
    <s v="20%"/>
    <n v="3372.96"/>
    <x v="9"/>
    <x v="0"/>
  </r>
  <r>
    <s v="ORD1043"/>
    <d v="2025-11-02T00:00:00"/>
    <s v="Arjun Rana"/>
    <x v="2"/>
    <s v="Tamil Nadu"/>
    <s v="Furniture"/>
    <s v="Bookcase"/>
    <s v="Wooden Bookcase"/>
    <n v="68813"/>
    <n v="6"/>
    <s v="10%"/>
    <n v="12039.43"/>
    <x v="1"/>
    <x v="0"/>
  </r>
  <r>
    <s v="ORD1044"/>
    <d v="2025-05-21T00:00:00"/>
    <s v="Amit Kumar"/>
    <x v="1"/>
    <s v="Odisha"/>
    <s v="Furniture"/>
    <s v="Bookcase"/>
    <s v="Wooden Bookcase"/>
    <n v="71135"/>
    <n v="7"/>
    <s v="5%"/>
    <n v="8463.41"/>
    <x v="3"/>
    <x v="0"/>
  </r>
  <r>
    <s v="ORD1045"/>
    <d v="2025-01-08T00:00:00"/>
    <s v="Sneha Joshi"/>
    <x v="3"/>
    <s v="Rajasthan"/>
    <s v="Office Supplies"/>
    <s v="Pen"/>
    <s v="Gel Pen Set"/>
    <n v="59659"/>
    <n v="2"/>
    <s v="5%"/>
    <n v="12298.21"/>
    <x v="8"/>
    <x v="0"/>
  </r>
  <r>
    <s v="ORD1046"/>
    <d v="2025-03-14T00:00:00"/>
    <s v="Arjun Rana"/>
    <x v="0"/>
    <s v="Punjab"/>
    <s v="Office Supplies"/>
    <s v="Binder"/>
    <s v="A4 Binder"/>
    <n v="4027"/>
    <n v="6"/>
    <s v="10%"/>
    <n v="608.17999999999995"/>
    <x v="6"/>
    <x v="0"/>
  </r>
  <r>
    <s v="ORD1047"/>
    <d v="2025-05-04T00:00:00"/>
    <s v="Anjali Mehta"/>
    <x v="0"/>
    <s v="Haryana"/>
    <s v="Office Supplies"/>
    <s v="Binder"/>
    <s v="A4 Binder"/>
    <n v="20415"/>
    <n v="5"/>
    <s v="0%"/>
    <n v="3754.62"/>
    <x v="3"/>
    <x v="0"/>
  </r>
  <r>
    <s v="ORD1048"/>
    <d v="2025-08-29T00:00:00"/>
    <s v="Rohit Gupta"/>
    <x v="3"/>
    <s v="Rajasthan"/>
    <s v="Technology"/>
    <s v="Laptop"/>
    <s v="HP Pavilion"/>
    <n v="19150"/>
    <n v="8"/>
    <s v="20%"/>
    <n v="3776.13"/>
    <x v="2"/>
    <x v="0"/>
  </r>
  <r>
    <s v="ORD1049"/>
    <d v="2025-05-02T00:00:00"/>
    <s v="Priya Verma"/>
    <x v="3"/>
    <s v="Gujarat"/>
    <s v="Furniture"/>
    <s v="Table"/>
    <s v="Study Table"/>
    <n v="56134"/>
    <n v="10"/>
    <s v="0%"/>
    <n v="7179.75"/>
    <x v="3"/>
    <x v="0"/>
  </r>
  <r>
    <s v="ORD1050"/>
    <d v="2025-06-05T00:00:00"/>
    <s v="Priya Verma"/>
    <x v="0"/>
    <s v="Haryana"/>
    <s v="Office Supplies"/>
    <s v="Paper"/>
    <s v="A4 Paper Pack"/>
    <n v="71881"/>
    <n v="2"/>
    <s v="15%"/>
    <n v="11678.57"/>
    <x v="9"/>
    <x v="0"/>
  </r>
  <r>
    <s v="ORD1051"/>
    <d v="2025-02-13T00:00:00"/>
    <s v="Arjun Rana"/>
    <x v="3"/>
    <s v="Gujarat"/>
    <s v="Furniture"/>
    <s v="Table"/>
    <s v="Study Table"/>
    <n v="23550"/>
    <n v="10"/>
    <s v="10%"/>
    <n v="5355.86"/>
    <x v="11"/>
    <x v="0"/>
  </r>
  <r>
    <s v="ORD1052"/>
    <d v="2025-04-16T00:00:00"/>
    <s v="Rahul Sharma"/>
    <x v="3"/>
    <s v="Rajasthan"/>
    <s v="Office Supplies"/>
    <s v="Pen"/>
    <s v="Gel Pen Set"/>
    <n v="45243"/>
    <n v="5"/>
    <s v="15%"/>
    <n v="6001.71"/>
    <x v="0"/>
    <x v="0"/>
  </r>
  <r>
    <s v="ORD1053"/>
    <d v="2025-06-28T00:00:00"/>
    <s v="Priya Verma"/>
    <x v="2"/>
    <s v="Kerala"/>
    <s v="Technology"/>
    <s v="Mobile"/>
    <s v="Samsung Galaxy"/>
    <n v="33774"/>
    <n v="5"/>
    <s v="0%"/>
    <n v="4896.33"/>
    <x v="9"/>
    <x v="0"/>
  </r>
  <r>
    <s v="ORD1054"/>
    <d v="2025-08-20T00:00:00"/>
    <s v="Simran Kaur"/>
    <x v="3"/>
    <s v="Rajasthan"/>
    <s v="Technology"/>
    <s v="Laptop"/>
    <s v="HP Pavilion"/>
    <n v="53928"/>
    <n v="3"/>
    <s v="5%"/>
    <n v="7899.22"/>
    <x v="2"/>
    <x v="0"/>
  </r>
  <r>
    <s v="ORD1055"/>
    <d v="2025-06-24T00:00:00"/>
    <s v="Rohit Gupta"/>
    <x v="0"/>
    <s v="Haryana"/>
    <s v="Technology"/>
    <s v="Accessories"/>
    <s v="Wireless Mouse"/>
    <n v="41675"/>
    <n v="3"/>
    <s v="20%"/>
    <n v="6171.49"/>
    <x v="9"/>
    <x v="0"/>
  </r>
  <r>
    <s v="ORD1056"/>
    <d v="2025-12-08T00:00:00"/>
    <s v="Rohit Gupta"/>
    <x v="2"/>
    <s v="Tamil Nadu"/>
    <s v="Office Supplies"/>
    <s v="Binder"/>
    <s v="A4 Binder"/>
    <n v="20881"/>
    <n v="2"/>
    <s v="15%"/>
    <n v="4520.1000000000004"/>
    <x v="7"/>
    <x v="0"/>
  </r>
  <r>
    <s v="ORD1057"/>
    <d v="2025-02-08T00:00:00"/>
    <s v="Sneha Joshi"/>
    <x v="2"/>
    <s v="Karnataka"/>
    <s v="Technology"/>
    <s v="Accessories"/>
    <s v="Wireless Mouse"/>
    <n v="47721"/>
    <n v="10"/>
    <s v="15%"/>
    <n v="11438.47"/>
    <x v="11"/>
    <x v="0"/>
  </r>
  <r>
    <s v="ORD1058"/>
    <d v="2025-10-12T00:00:00"/>
    <s v="Rohit Gupta"/>
    <x v="1"/>
    <s v="West Bengal"/>
    <s v="Office Supplies"/>
    <s v="Binder"/>
    <s v="A4 Binder"/>
    <n v="4003"/>
    <n v="4"/>
    <s v="15%"/>
    <n v="613.92999999999995"/>
    <x v="10"/>
    <x v="0"/>
  </r>
  <r>
    <s v="ORD1059"/>
    <d v="2025-03-10T00:00:00"/>
    <s v="Amit Kumar"/>
    <x v="0"/>
    <s v="Delhi"/>
    <s v="Office Supplies"/>
    <s v="Binder"/>
    <s v="A4 Binder"/>
    <n v="32437"/>
    <n v="2"/>
    <s v="10%"/>
    <n v="3379.48"/>
    <x v="6"/>
    <x v="0"/>
  </r>
  <r>
    <s v="ORD1060"/>
    <d v="2025-06-16T00:00:00"/>
    <s v="Anjali Mehta"/>
    <x v="1"/>
    <s v="Odisha"/>
    <s v="Office Supplies"/>
    <s v="Paper"/>
    <s v="A4 Paper Pack"/>
    <n v="28984"/>
    <n v="7"/>
    <s v="20%"/>
    <n v="3872.66"/>
    <x v="9"/>
    <x v="0"/>
  </r>
  <r>
    <s v="ORD1061"/>
    <d v="2025-11-19T00:00:00"/>
    <s v="Amit Kumar"/>
    <x v="3"/>
    <s v="Rajasthan"/>
    <s v="Technology"/>
    <s v="Laptop"/>
    <s v="HP Pavilion"/>
    <n v="9755"/>
    <n v="5"/>
    <s v="0%"/>
    <n v="1731.58"/>
    <x v="1"/>
    <x v="0"/>
  </r>
  <r>
    <s v="ORD1062"/>
    <d v="2025-05-30T00:00:00"/>
    <s v="Neha Singh"/>
    <x v="1"/>
    <s v="Bihar"/>
    <s v="Technology"/>
    <s v="Laptop"/>
    <s v="HP Pavilion"/>
    <n v="22293"/>
    <n v="9"/>
    <s v="20%"/>
    <n v="3668.35"/>
    <x v="3"/>
    <x v="0"/>
  </r>
  <r>
    <s v="ORD1063"/>
    <d v="2025-07-28T00:00:00"/>
    <s v="Priya Verma"/>
    <x v="3"/>
    <s v="Rajasthan"/>
    <s v="Technology"/>
    <s v="Accessories"/>
    <s v="Wireless Mouse"/>
    <n v="76117"/>
    <n v="6"/>
    <s v="5%"/>
    <n v="19329.62"/>
    <x v="4"/>
    <x v="0"/>
  </r>
  <r>
    <s v="ORD1064"/>
    <d v="2025-11-19T00:00:00"/>
    <s v="Sneha Joshi"/>
    <x v="1"/>
    <s v="Odisha"/>
    <s v="Technology"/>
    <s v="Accessories"/>
    <s v="Wireless Mouse"/>
    <n v="43469"/>
    <n v="1"/>
    <s v="15%"/>
    <n v="4005.84"/>
    <x v="1"/>
    <x v="0"/>
  </r>
  <r>
    <s v="ORD1065"/>
    <d v="2025-07-16T00:00:00"/>
    <s v="Rahul Sharma"/>
    <x v="3"/>
    <s v="Maharashtra"/>
    <s v="Office Supplies"/>
    <s v="Pen"/>
    <s v="Gel Pen Set"/>
    <n v="27468"/>
    <n v="3"/>
    <s v="20%"/>
    <n v="5459.26"/>
    <x v="4"/>
    <x v="0"/>
  </r>
  <r>
    <s v="ORD1066"/>
    <d v="2025-07-23T00:00:00"/>
    <s v="Rohit Gupta"/>
    <x v="3"/>
    <s v="Maharashtra"/>
    <s v="Furniture"/>
    <s v="Chair"/>
    <s v="Office Chair"/>
    <n v="9145"/>
    <n v="10"/>
    <s v="5%"/>
    <n v="2044.22"/>
    <x v="4"/>
    <x v="0"/>
  </r>
  <r>
    <s v="ORD1067"/>
    <d v="2025-10-20T00:00:00"/>
    <s v="Amit Kumar"/>
    <x v="1"/>
    <s v="Odisha"/>
    <s v="Office Supplies"/>
    <s v="Pen"/>
    <s v="Gel Pen Set"/>
    <n v="19266"/>
    <n v="9"/>
    <s v="20%"/>
    <n v="4151.43"/>
    <x v="10"/>
    <x v="0"/>
  </r>
  <r>
    <s v="ORD1068"/>
    <d v="2025-05-01T00:00:00"/>
    <s v="Amit Kumar"/>
    <x v="1"/>
    <s v="Odisha"/>
    <s v="Furniture"/>
    <s v="Table"/>
    <s v="Study Table"/>
    <n v="57149"/>
    <n v="3"/>
    <s v="0%"/>
    <n v="10683.78"/>
    <x v="3"/>
    <x v="0"/>
  </r>
  <r>
    <s v="ORD1069"/>
    <d v="2025-11-06T00:00:00"/>
    <s v="Karan Patel"/>
    <x v="2"/>
    <s v="Kerala"/>
    <s v="Furniture"/>
    <s v="Chair"/>
    <s v="Office Chair"/>
    <n v="24011"/>
    <n v="10"/>
    <s v="10%"/>
    <n v="4591.83"/>
    <x v="1"/>
    <x v="0"/>
  </r>
  <r>
    <s v="ORD1070"/>
    <d v="2025-12-02T00:00:00"/>
    <s v="Karan Patel"/>
    <x v="1"/>
    <s v="Odisha"/>
    <s v="Furniture"/>
    <s v="Table"/>
    <s v="Study Table"/>
    <n v="76175"/>
    <n v="9"/>
    <s v="15%"/>
    <n v="5481.37"/>
    <x v="7"/>
    <x v="0"/>
  </r>
  <r>
    <s v="ORD1071"/>
    <d v="2025-11-01T00:00:00"/>
    <s v="Sneha Joshi"/>
    <x v="1"/>
    <s v="West Bengal"/>
    <s v="Office Supplies"/>
    <s v="Binder"/>
    <s v="A4 Binder"/>
    <n v="71213"/>
    <n v="6"/>
    <s v="5%"/>
    <n v="7358.89"/>
    <x v="1"/>
    <x v="0"/>
  </r>
  <r>
    <s v="ORD1072"/>
    <d v="2025-08-11T00:00:00"/>
    <s v="Sneha Joshi"/>
    <x v="2"/>
    <s v="Karnataka"/>
    <s v="Furniture"/>
    <s v="Table"/>
    <s v="Study Table"/>
    <n v="40306"/>
    <n v="7"/>
    <s v="15%"/>
    <n v="3906.81"/>
    <x v="2"/>
    <x v="0"/>
  </r>
  <r>
    <s v="ORD1073"/>
    <d v="2025-03-05T00:00:00"/>
    <s v="Rohit Gupta"/>
    <x v="3"/>
    <s v="Maharashtra"/>
    <s v="Technology"/>
    <s v="Mobile"/>
    <s v="Samsung Galaxy"/>
    <n v="16464"/>
    <n v="2"/>
    <s v="10%"/>
    <n v="3552.04"/>
    <x v="6"/>
    <x v="0"/>
  </r>
  <r>
    <s v="ORD1074"/>
    <d v="2025-12-20T00:00:00"/>
    <s v="Amit Kumar"/>
    <x v="1"/>
    <s v="Odisha"/>
    <s v="Office Supplies"/>
    <s v="Pen"/>
    <s v="Gel Pen Set"/>
    <n v="58706"/>
    <n v="10"/>
    <s v="10%"/>
    <n v="14691.49"/>
    <x v="7"/>
    <x v="0"/>
  </r>
  <r>
    <s v="ORD1075"/>
    <d v="2025-09-11T00:00:00"/>
    <s v="Rohit Gupta"/>
    <x v="1"/>
    <s v="Bihar"/>
    <s v="Furniture"/>
    <s v="Chair"/>
    <s v="Office Chair"/>
    <n v="17196"/>
    <n v="1"/>
    <s v="20%"/>
    <n v="3392.57"/>
    <x v="5"/>
    <x v="0"/>
  </r>
  <r>
    <s v="ORD1076"/>
    <d v="2025-04-30T00:00:00"/>
    <s v="Amit Kumar"/>
    <x v="3"/>
    <s v="Gujarat"/>
    <s v="Furniture"/>
    <s v="Bookcase"/>
    <s v="Wooden Bookcase"/>
    <n v="13542"/>
    <n v="8"/>
    <s v="0%"/>
    <n v="2657.25"/>
    <x v="0"/>
    <x v="0"/>
  </r>
  <r>
    <s v="ORD1077"/>
    <d v="2025-05-12T00:00:00"/>
    <s v="Amit Kumar"/>
    <x v="2"/>
    <s v="Kerala"/>
    <s v="Technology"/>
    <s v="Accessories"/>
    <s v="Wireless Mouse"/>
    <n v="11235"/>
    <n v="3"/>
    <s v="0%"/>
    <n v="1316.84"/>
    <x v="3"/>
    <x v="0"/>
  </r>
  <r>
    <s v="ORD1078"/>
    <d v="2025-09-12T00:00:00"/>
    <s v="Neha Singh"/>
    <x v="2"/>
    <s v="Kerala"/>
    <s v="Technology"/>
    <s v="Accessories"/>
    <s v="Wireless Mouse"/>
    <n v="23494"/>
    <n v="7"/>
    <s v="20%"/>
    <n v="5556.84"/>
    <x v="5"/>
    <x v="0"/>
  </r>
  <r>
    <s v="ORD1079"/>
    <d v="2025-12-31T00:00:00"/>
    <s v="Anjali Mehta"/>
    <x v="3"/>
    <s v="Rajasthan"/>
    <s v="Office Supplies"/>
    <s v="Binder"/>
    <s v="A4 Binder"/>
    <n v="34674"/>
    <n v="1"/>
    <s v="5%"/>
    <n v="3330.19"/>
    <x v="7"/>
    <x v="0"/>
  </r>
  <r>
    <s v="ORD1080"/>
    <d v="2025-07-21T00:00:00"/>
    <s v="Sneha Joshi"/>
    <x v="3"/>
    <s v="Gujarat"/>
    <s v="Technology"/>
    <s v="Laptop"/>
    <s v="HP Pavilion"/>
    <n v="9776"/>
    <n v="5"/>
    <s v="20%"/>
    <n v="1683.5"/>
    <x v="4"/>
    <x v="0"/>
  </r>
  <r>
    <s v="ORD1081"/>
    <d v="2025-08-31T00:00:00"/>
    <s v="Priya Verma"/>
    <x v="1"/>
    <s v="West Bengal"/>
    <s v="Office Supplies"/>
    <s v="Pen"/>
    <s v="Gel Pen Set"/>
    <n v="68479"/>
    <n v="2"/>
    <s v="20%"/>
    <n v="6082.39"/>
    <x v="2"/>
    <x v="0"/>
  </r>
  <r>
    <s v="ORD1082"/>
    <d v="2025-12-15T00:00:00"/>
    <s v="Priya Verma"/>
    <x v="0"/>
    <s v="Punjab"/>
    <s v="Technology"/>
    <s v="Accessories"/>
    <s v="Wireless Mouse"/>
    <n v="14913"/>
    <n v="10"/>
    <s v="0%"/>
    <n v="1205.57"/>
    <x v="7"/>
    <x v="0"/>
  </r>
  <r>
    <s v="ORD1083"/>
    <d v="2025-01-28T00:00:00"/>
    <s v="Simran Kaur"/>
    <x v="2"/>
    <s v="Tamil Nadu"/>
    <s v="Office Supplies"/>
    <s v="Paper"/>
    <s v="A4 Paper Pack"/>
    <n v="51482"/>
    <n v="3"/>
    <s v="0%"/>
    <n v="11747.54"/>
    <x v="8"/>
    <x v="0"/>
  </r>
  <r>
    <s v="ORD1084"/>
    <d v="2025-03-02T00:00:00"/>
    <s v="Simran Kaur"/>
    <x v="3"/>
    <s v="Maharashtra"/>
    <s v="Office Supplies"/>
    <s v="Pen"/>
    <s v="Gel Pen Set"/>
    <n v="1263"/>
    <n v="9"/>
    <s v="15%"/>
    <n v="182.92"/>
    <x v="6"/>
    <x v="0"/>
  </r>
  <r>
    <s v="ORD1085"/>
    <d v="2025-12-30T00:00:00"/>
    <s v="Sneha Joshi"/>
    <x v="2"/>
    <s v="Kerala"/>
    <s v="Furniture"/>
    <s v="Bookcase"/>
    <s v="Wooden Bookcase"/>
    <n v="53347"/>
    <n v="10"/>
    <s v="5%"/>
    <n v="11305.36"/>
    <x v="7"/>
    <x v="0"/>
  </r>
  <r>
    <s v="ORD1086"/>
    <d v="2025-06-28T00:00:00"/>
    <s v="Amit Kumar"/>
    <x v="3"/>
    <s v="Gujarat"/>
    <s v="Technology"/>
    <s v="Mobile"/>
    <s v="Samsung Galaxy"/>
    <n v="39840"/>
    <n v="6"/>
    <s v="20%"/>
    <n v="9809.8799999999992"/>
    <x v="9"/>
    <x v="0"/>
  </r>
  <r>
    <s v="ORD1087"/>
    <d v="2025-07-16T00:00:00"/>
    <s v="Arjun Rana"/>
    <x v="3"/>
    <s v="Gujarat"/>
    <s v="Technology"/>
    <s v="Mobile"/>
    <s v="Samsung Galaxy"/>
    <n v="44865"/>
    <n v="2"/>
    <s v="10%"/>
    <n v="8853.4699999999993"/>
    <x v="4"/>
    <x v="0"/>
  </r>
  <r>
    <s v="ORD1088"/>
    <d v="2025-11-17T00:00:00"/>
    <s v="Rahul Sharma"/>
    <x v="2"/>
    <s v="Kerala"/>
    <s v="Office Supplies"/>
    <s v="Pen"/>
    <s v="Gel Pen Set"/>
    <n v="23832"/>
    <n v="4"/>
    <s v="5%"/>
    <n v="3766.43"/>
    <x v="1"/>
    <x v="0"/>
  </r>
  <r>
    <s v="ORD1089"/>
    <d v="2025-08-05T00:00:00"/>
    <s v="Karan Patel"/>
    <x v="2"/>
    <s v="Karnataka"/>
    <s v="Technology"/>
    <s v="Accessories"/>
    <s v="Wireless Mouse"/>
    <n v="30264"/>
    <n v="9"/>
    <s v="5%"/>
    <n v="3821.4"/>
    <x v="2"/>
    <x v="0"/>
  </r>
  <r>
    <s v="ORD1090"/>
    <d v="2025-08-03T00:00:00"/>
    <s v="Rohit Gupta"/>
    <x v="1"/>
    <s v="West Bengal"/>
    <s v="Technology"/>
    <s v="Laptop"/>
    <s v="HP Pavilion"/>
    <n v="12024"/>
    <n v="9"/>
    <s v="0%"/>
    <n v="1351.98"/>
    <x v="2"/>
    <x v="0"/>
  </r>
  <r>
    <s v="ORD1091"/>
    <d v="2025-09-09T00:00:00"/>
    <s v="Rahul Sharma"/>
    <x v="0"/>
    <s v="Punjab"/>
    <s v="Furniture"/>
    <s v="Bookcase"/>
    <s v="Wooden Bookcase"/>
    <n v="30709"/>
    <n v="5"/>
    <s v="0%"/>
    <n v="8073.89"/>
    <x v="5"/>
    <x v="0"/>
  </r>
  <r>
    <s v="ORD1092"/>
    <d v="2025-10-08T00:00:00"/>
    <s v="Karan Patel"/>
    <x v="3"/>
    <s v="Rajasthan"/>
    <s v="Furniture"/>
    <s v="Bookcase"/>
    <s v="Wooden Bookcase"/>
    <n v="23798"/>
    <n v="9"/>
    <s v="20%"/>
    <n v="4538.2700000000004"/>
    <x v="10"/>
    <x v="0"/>
  </r>
  <r>
    <s v="ORD1093"/>
    <d v="2025-08-06T00:00:00"/>
    <s v="Anjali Mehta"/>
    <x v="0"/>
    <s v="Delhi"/>
    <s v="Office Supplies"/>
    <s v="Pen"/>
    <s v="Gel Pen Set"/>
    <n v="38600"/>
    <n v="8"/>
    <s v="0%"/>
    <n v="3961.4"/>
    <x v="2"/>
    <x v="0"/>
  </r>
  <r>
    <s v="ORD1094"/>
    <d v="2025-10-08T00:00:00"/>
    <s v="Amit Kumar"/>
    <x v="3"/>
    <s v="Maharashtra"/>
    <s v="Office Supplies"/>
    <s v="Paper"/>
    <s v="A4 Paper Pack"/>
    <n v="53903"/>
    <n v="5"/>
    <s v="15%"/>
    <n v="14206.99"/>
    <x v="10"/>
    <x v="0"/>
  </r>
  <r>
    <s v="ORD1095"/>
    <d v="2025-03-24T00:00:00"/>
    <s v="Neha Singh"/>
    <x v="2"/>
    <s v="Kerala"/>
    <s v="Furniture"/>
    <s v="Chair"/>
    <s v="Office Chair"/>
    <n v="13482"/>
    <n v="10"/>
    <s v="0%"/>
    <n v="2677.75"/>
    <x v="6"/>
    <x v="0"/>
  </r>
  <r>
    <s v="ORD1096"/>
    <d v="2025-04-27T00:00:00"/>
    <s v="Simran Kaur"/>
    <x v="0"/>
    <s v="Delhi"/>
    <s v="Technology"/>
    <s v="Mobile"/>
    <s v="Samsung Galaxy"/>
    <n v="46802"/>
    <n v="2"/>
    <s v="20%"/>
    <n v="6404.64"/>
    <x v="0"/>
    <x v="0"/>
  </r>
  <r>
    <s v="ORD1097"/>
    <d v="2025-08-13T00:00:00"/>
    <s v="Amit Kumar"/>
    <x v="1"/>
    <s v="Bihar"/>
    <s v="Furniture"/>
    <s v="Chair"/>
    <s v="Office Chair"/>
    <n v="33921"/>
    <n v="6"/>
    <s v="5%"/>
    <n v="8630.1299999999992"/>
    <x v="2"/>
    <x v="0"/>
  </r>
  <r>
    <s v="ORD1098"/>
    <d v="2025-05-06T00:00:00"/>
    <s v="Priya Verma"/>
    <x v="0"/>
    <s v="Haryana"/>
    <s v="Furniture"/>
    <s v="Bookcase"/>
    <s v="Wooden Bookcase"/>
    <n v="60228"/>
    <n v="5"/>
    <s v="20%"/>
    <n v="6968.05"/>
    <x v="3"/>
    <x v="0"/>
  </r>
  <r>
    <s v="ORD1099"/>
    <d v="2025-01-01T00:00:00"/>
    <s v="Rohit Gupta"/>
    <x v="2"/>
    <s v="Kerala"/>
    <s v="Technology"/>
    <s v="Mobile"/>
    <s v="Samsung Galaxy"/>
    <n v="35876"/>
    <n v="8"/>
    <s v="0%"/>
    <n v="6472.51"/>
    <x v="8"/>
    <x v="0"/>
  </r>
  <r>
    <s v="ORD1100"/>
    <d v="2025-08-13T00:00:00"/>
    <s v="Karan Patel"/>
    <x v="1"/>
    <s v="Bihar"/>
    <s v="Technology"/>
    <s v="Accessories"/>
    <s v="Wireless Mouse"/>
    <n v="58980"/>
    <n v="8"/>
    <s v="10%"/>
    <n v="4368.7700000000004"/>
    <x v="2"/>
    <x v="0"/>
  </r>
  <r>
    <s v="ORD1101"/>
    <d v="2025-03-08T00:00:00"/>
    <s v="Simran Kaur"/>
    <x v="0"/>
    <s v="Punjab"/>
    <s v="Furniture"/>
    <s v="Table"/>
    <s v="Study Table"/>
    <n v="5479"/>
    <n v="10"/>
    <s v="0%"/>
    <n v="659.82"/>
    <x v="6"/>
    <x v="0"/>
  </r>
  <r>
    <s v="ORD1102"/>
    <d v="2025-07-07T00:00:00"/>
    <s v="Priya Verma"/>
    <x v="1"/>
    <s v="West Bengal"/>
    <s v="Office Supplies"/>
    <s v="Binder"/>
    <s v="A4 Binder"/>
    <n v="35586"/>
    <n v="3"/>
    <s v="15%"/>
    <n v="5715.75"/>
    <x v="4"/>
    <x v="0"/>
  </r>
  <r>
    <s v="ORD1103"/>
    <d v="2025-06-08T00:00:00"/>
    <s v="Simran Kaur"/>
    <x v="1"/>
    <s v="West Bengal"/>
    <s v="Technology"/>
    <s v="Accessories"/>
    <s v="Wireless Mouse"/>
    <n v="23970"/>
    <n v="7"/>
    <s v="5%"/>
    <n v="3124.94"/>
    <x v="9"/>
    <x v="0"/>
  </r>
  <r>
    <s v="ORD1104"/>
    <d v="2025-11-17T00:00:00"/>
    <s v="Neha Singh"/>
    <x v="3"/>
    <s v="Rajasthan"/>
    <s v="Furniture"/>
    <s v="Chair"/>
    <s v="Office Chair"/>
    <n v="65002"/>
    <n v="8"/>
    <s v="10%"/>
    <n v="12875.06"/>
    <x v="1"/>
    <x v="0"/>
  </r>
  <r>
    <s v="ORD1105"/>
    <d v="2025-11-23T00:00:00"/>
    <s v="Amit Kumar"/>
    <x v="1"/>
    <s v="Bihar"/>
    <s v="Furniture"/>
    <s v="Table"/>
    <s v="Study Table"/>
    <n v="70806"/>
    <n v="9"/>
    <s v="0%"/>
    <n v="14467.09"/>
    <x v="1"/>
    <x v="0"/>
  </r>
  <r>
    <s v="ORD1106"/>
    <d v="2025-06-27T00:00:00"/>
    <s v="Neha Singh"/>
    <x v="2"/>
    <s v="Karnataka"/>
    <s v="Furniture"/>
    <s v="Bookcase"/>
    <s v="Wooden Bookcase"/>
    <n v="58467"/>
    <n v="1"/>
    <s v="15%"/>
    <n v="7854.3"/>
    <x v="9"/>
    <x v="0"/>
  </r>
  <r>
    <s v="ORD1107"/>
    <d v="2025-11-28T00:00:00"/>
    <s v="Priya Verma"/>
    <x v="1"/>
    <s v="Bihar"/>
    <s v="Office Supplies"/>
    <s v="Binder"/>
    <s v="A4 Binder"/>
    <n v="58216"/>
    <n v="1"/>
    <s v="0%"/>
    <n v="10982.59"/>
    <x v="1"/>
    <x v="0"/>
  </r>
  <r>
    <s v="ORD1108"/>
    <d v="2025-10-27T00:00:00"/>
    <s v="Sneha Joshi"/>
    <x v="1"/>
    <s v="Odisha"/>
    <s v="Furniture"/>
    <s v="Bookcase"/>
    <s v="Wooden Bookcase"/>
    <n v="67408"/>
    <n v="4"/>
    <s v="0%"/>
    <n v="16821.87"/>
    <x v="10"/>
    <x v="0"/>
  </r>
  <r>
    <s v="ORD1109"/>
    <d v="2025-07-18T00:00:00"/>
    <s v="Priya Verma"/>
    <x v="2"/>
    <s v="Kerala"/>
    <s v="Technology"/>
    <s v="Accessories"/>
    <s v="Wireless Mouse"/>
    <n v="61000"/>
    <n v="10"/>
    <s v="5%"/>
    <n v="9093.08"/>
    <x v="4"/>
    <x v="0"/>
  </r>
  <r>
    <s v="ORD1110"/>
    <d v="2025-01-25T00:00:00"/>
    <s v="Anjali Mehta"/>
    <x v="1"/>
    <s v="Bihar"/>
    <s v="Furniture"/>
    <s v="Bookcase"/>
    <s v="Wooden Bookcase"/>
    <n v="48154"/>
    <n v="8"/>
    <s v="15%"/>
    <n v="11568.11"/>
    <x v="8"/>
    <x v="0"/>
  </r>
  <r>
    <s v="ORD1111"/>
    <d v="2025-03-13T00:00:00"/>
    <s v="Neha Singh"/>
    <x v="1"/>
    <s v="Bihar"/>
    <s v="Furniture"/>
    <s v="Chair"/>
    <s v="Office Chair"/>
    <n v="43100"/>
    <n v="1"/>
    <s v="20%"/>
    <n v="9048.2900000000009"/>
    <x v="6"/>
    <x v="0"/>
  </r>
  <r>
    <s v="ORD1112"/>
    <d v="2025-06-05T00:00:00"/>
    <s v="Rahul Sharma"/>
    <x v="2"/>
    <s v="Karnataka"/>
    <s v="Office Supplies"/>
    <s v="Binder"/>
    <s v="A4 Binder"/>
    <n v="78456"/>
    <n v="10"/>
    <s v="5%"/>
    <n v="9541.18"/>
    <x v="9"/>
    <x v="0"/>
  </r>
  <r>
    <s v="ORD1113"/>
    <d v="2025-02-17T00:00:00"/>
    <s v="Simran Kaur"/>
    <x v="2"/>
    <s v="Tamil Nadu"/>
    <s v="Furniture"/>
    <s v="Bookcase"/>
    <s v="Wooden Bookcase"/>
    <n v="66888"/>
    <n v="1"/>
    <s v="20%"/>
    <n v="11412.13"/>
    <x v="11"/>
    <x v="0"/>
  </r>
  <r>
    <s v="ORD1114"/>
    <d v="2025-01-26T00:00:00"/>
    <s v="Rohit Gupta"/>
    <x v="0"/>
    <s v="Delhi"/>
    <s v="Office Supplies"/>
    <s v="Pen"/>
    <s v="Gel Pen Set"/>
    <n v="55339"/>
    <n v="7"/>
    <s v="0%"/>
    <n v="13160.69"/>
    <x v="8"/>
    <x v="0"/>
  </r>
  <r>
    <s v="ORD1115"/>
    <d v="2025-01-07T00:00:00"/>
    <s v="Arjun Rana"/>
    <x v="3"/>
    <s v="Maharashtra"/>
    <s v="Office Supplies"/>
    <s v="Binder"/>
    <s v="A4 Binder"/>
    <n v="26324"/>
    <n v="3"/>
    <s v="5%"/>
    <n v="6304.47"/>
    <x v="8"/>
    <x v="0"/>
  </r>
  <r>
    <s v="ORD1116"/>
    <d v="2025-03-28T00:00:00"/>
    <s v="Neha Singh"/>
    <x v="3"/>
    <s v="Gujarat"/>
    <s v="Office Supplies"/>
    <s v="Pen"/>
    <s v="Gel Pen Set"/>
    <n v="41499"/>
    <n v="2"/>
    <s v="15%"/>
    <n v="6440.06"/>
    <x v="6"/>
    <x v="0"/>
  </r>
  <r>
    <s v="ORD1117"/>
    <d v="2025-08-08T00:00:00"/>
    <s v="Simran Kaur"/>
    <x v="1"/>
    <s v="Odisha"/>
    <s v="Office Supplies"/>
    <s v="Pen"/>
    <s v="Gel Pen Set"/>
    <n v="14834"/>
    <n v="8"/>
    <s v="5%"/>
    <n v="2705.17"/>
    <x v="2"/>
    <x v="0"/>
  </r>
  <r>
    <s v="ORD1118"/>
    <d v="2025-07-14T00:00:00"/>
    <s v="Rohit Gupta"/>
    <x v="0"/>
    <s v="Haryana"/>
    <s v="Technology"/>
    <s v="Accessories"/>
    <s v="Wireless Mouse"/>
    <n v="44968"/>
    <n v="8"/>
    <s v="5%"/>
    <n v="5513.77"/>
    <x v="4"/>
    <x v="0"/>
  </r>
  <r>
    <s v="ORD1119"/>
    <d v="2025-02-16T00:00:00"/>
    <s v="Amit Kumar"/>
    <x v="1"/>
    <s v="Bihar"/>
    <s v="Technology"/>
    <s v="Accessories"/>
    <s v="Wireless Mouse"/>
    <n v="63330"/>
    <n v="4"/>
    <s v="5%"/>
    <n v="17336.13"/>
    <x v="11"/>
    <x v="0"/>
  </r>
  <r>
    <s v="ORD1120"/>
    <d v="2025-07-30T00:00:00"/>
    <s v="Karan Patel"/>
    <x v="1"/>
    <s v="Odisha"/>
    <s v="Furniture"/>
    <s v="Chair"/>
    <s v="Office Chair"/>
    <n v="30623"/>
    <n v="4"/>
    <s v="0%"/>
    <n v="4921.3100000000004"/>
    <x v="4"/>
    <x v="0"/>
  </r>
  <r>
    <s v="ORD1121"/>
    <d v="2025-06-27T00:00:00"/>
    <s v="Anjali Mehta"/>
    <x v="2"/>
    <s v="Karnataka"/>
    <s v="Technology"/>
    <s v="Accessories"/>
    <s v="Wireless Mouse"/>
    <n v="58230"/>
    <n v="7"/>
    <s v="5%"/>
    <n v="6440.3"/>
    <x v="9"/>
    <x v="0"/>
  </r>
  <r>
    <s v="ORD1122"/>
    <d v="2025-09-29T00:00:00"/>
    <s v="Rahul Sharma"/>
    <x v="2"/>
    <s v="Kerala"/>
    <s v="Furniture"/>
    <s v="Table"/>
    <s v="Study Table"/>
    <n v="14876"/>
    <n v="8"/>
    <s v="15%"/>
    <n v="2115.66"/>
    <x v="5"/>
    <x v="0"/>
  </r>
  <r>
    <s v="ORD1123"/>
    <d v="2025-10-25T00:00:00"/>
    <s v="Rahul Sharma"/>
    <x v="3"/>
    <s v="Gujarat"/>
    <s v="Technology"/>
    <s v="Laptop"/>
    <s v="HP Pavilion"/>
    <n v="70615"/>
    <n v="7"/>
    <s v="20%"/>
    <n v="17146.43"/>
    <x v="10"/>
    <x v="0"/>
  </r>
  <r>
    <s v="ORD1124"/>
    <d v="2025-04-30T00:00:00"/>
    <s v="Priya Verma"/>
    <x v="2"/>
    <s v="Tamil Nadu"/>
    <s v="Technology"/>
    <s v="Laptop"/>
    <s v="HP Pavilion"/>
    <n v="21940"/>
    <n v="7"/>
    <s v="5%"/>
    <n v="3214.33"/>
    <x v="0"/>
    <x v="0"/>
  </r>
  <r>
    <s v="ORD1125"/>
    <d v="2025-02-19T00:00:00"/>
    <s v="Rohit Gupta"/>
    <x v="0"/>
    <s v="Delhi"/>
    <s v="Office Supplies"/>
    <s v="Binder"/>
    <s v="A4 Binder"/>
    <n v="2026"/>
    <n v="9"/>
    <s v="15%"/>
    <n v="246.16"/>
    <x v="11"/>
    <x v="0"/>
  </r>
  <r>
    <s v="ORD1126"/>
    <d v="2025-05-17T00:00:00"/>
    <s v="Arjun Rana"/>
    <x v="3"/>
    <s v="Gujarat"/>
    <s v="Technology"/>
    <s v="Mobile"/>
    <s v="Samsung Galaxy"/>
    <n v="48514"/>
    <n v="9"/>
    <s v="10%"/>
    <n v="8304.68"/>
    <x v="3"/>
    <x v="0"/>
  </r>
  <r>
    <s v="ORD1127"/>
    <d v="2025-09-06T00:00:00"/>
    <s v="Rohit Gupta"/>
    <x v="2"/>
    <s v="Tamil Nadu"/>
    <s v="Technology"/>
    <s v="Laptop"/>
    <s v="HP Pavilion"/>
    <n v="63779"/>
    <n v="9"/>
    <s v="5%"/>
    <n v="8020.35"/>
    <x v="5"/>
    <x v="0"/>
  </r>
  <r>
    <s v="ORD1128"/>
    <d v="2025-04-20T00:00:00"/>
    <s v="Rahul Sharma"/>
    <x v="3"/>
    <s v="Gujarat"/>
    <s v="Furniture"/>
    <s v="Chair"/>
    <s v="Office Chair"/>
    <n v="12402"/>
    <n v="2"/>
    <s v="5%"/>
    <n v="2733.85"/>
    <x v="0"/>
    <x v="0"/>
  </r>
  <r>
    <s v="ORD1129"/>
    <d v="2025-08-03T00:00:00"/>
    <s v="Simran Kaur"/>
    <x v="3"/>
    <s v="Gujarat"/>
    <s v="Furniture"/>
    <s v="Bookcase"/>
    <s v="Wooden Bookcase"/>
    <n v="13165"/>
    <n v="8"/>
    <s v="5%"/>
    <n v="1342.91"/>
    <x v="2"/>
    <x v="0"/>
  </r>
  <r>
    <s v="ORD1130"/>
    <d v="2025-01-02T00:00:00"/>
    <s v="Rohit Gupta"/>
    <x v="2"/>
    <s v="Tamil Nadu"/>
    <s v="Office Supplies"/>
    <s v="Paper"/>
    <s v="A4 Paper Pack"/>
    <n v="27944"/>
    <n v="1"/>
    <s v="10%"/>
    <n v="4119.8500000000004"/>
    <x v="8"/>
    <x v="0"/>
  </r>
  <r>
    <s v="ORD1131"/>
    <d v="2025-06-03T00:00:00"/>
    <s v="Amit Kumar"/>
    <x v="0"/>
    <s v="Punjab"/>
    <s v="Furniture"/>
    <s v="Chair"/>
    <s v="Office Chair"/>
    <n v="34640"/>
    <n v="1"/>
    <s v="0%"/>
    <n v="3385.72"/>
    <x v="9"/>
    <x v="0"/>
  </r>
  <r>
    <s v="ORD1132"/>
    <d v="2025-09-14T00:00:00"/>
    <s v="Anjali Mehta"/>
    <x v="0"/>
    <s v="Punjab"/>
    <s v="Office Supplies"/>
    <s v="Binder"/>
    <s v="A4 Binder"/>
    <n v="45270"/>
    <n v="9"/>
    <s v="5%"/>
    <n v="12373.42"/>
    <x v="5"/>
    <x v="0"/>
  </r>
  <r>
    <s v="ORD1133"/>
    <d v="2025-10-08T00:00:00"/>
    <s v="Anjali Mehta"/>
    <x v="1"/>
    <s v="Bihar"/>
    <s v="Office Supplies"/>
    <s v="Pen"/>
    <s v="Gel Pen Set"/>
    <n v="2858"/>
    <n v="7"/>
    <s v="20%"/>
    <n v="663.9"/>
    <x v="10"/>
    <x v="0"/>
  </r>
  <r>
    <s v="ORD1134"/>
    <d v="2025-02-17T00:00:00"/>
    <s v="Anjali Mehta"/>
    <x v="2"/>
    <s v="Tamil Nadu"/>
    <s v="Office Supplies"/>
    <s v="Paper"/>
    <s v="A4 Paper Pack"/>
    <n v="68626"/>
    <n v="2"/>
    <s v="20%"/>
    <n v="4321.8900000000003"/>
    <x v="11"/>
    <x v="0"/>
  </r>
  <r>
    <s v="ORD1135"/>
    <d v="2025-03-07T00:00:00"/>
    <s v="Anjali Mehta"/>
    <x v="3"/>
    <s v="Rajasthan"/>
    <s v="Furniture"/>
    <s v="Bookcase"/>
    <s v="Wooden Bookcase"/>
    <n v="75511"/>
    <n v="7"/>
    <s v="5%"/>
    <n v="13551.02"/>
    <x v="6"/>
    <x v="0"/>
  </r>
  <r>
    <s v="ORD1136"/>
    <d v="2025-07-13T00:00:00"/>
    <s v="Rohit Gupta"/>
    <x v="3"/>
    <s v="Rajasthan"/>
    <s v="Technology"/>
    <s v="Mobile"/>
    <s v="Samsung Galaxy"/>
    <n v="31824"/>
    <n v="6"/>
    <s v="15%"/>
    <n v="6441.68"/>
    <x v="4"/>
    <x v="0"/>
  </r>
  <r>
    <s v="ORD1137"/>
    <d v="2025-08-31T00:00:00"/>
    <s v="Sneha Joshi"/>
    <x v="0"/>
    <s v="Delhi"/>
    <s v="Technology"/>
    <s v="Accessories"/>
    <s v="Wireless Mouse"/>
    <n v="69617"/>
    <n v="8"/>
    <s v="5%"/>
    <n v="8579.75"/>
    <x v="2"/>
    <x v="0"/>
  </r>
  <r>
    <s v="ORD1138"/>
    <d v="2025-05-04T00:00:00"/>
    <s v="Amit Kumar"/>
    <x v="1"/>
    <s v="Bihar"/>
    <s v="Technology"/>
    <s v="Mobile"/>
    <s v="Samsung Galaxy"/>
    <n v="18997"/>
    <n v="1"/>
    <s v="15%"/>
    <n v="1727.18"/>
    <x v="3"/>
    <x v="0"/>
  </r>
  <r>
    <s v="ORD1139"/>
    <d v="2025-03-13T00:00:00"/>
    <s v="Rohit Gupta"/>
    <x v="2"/>
    <s v="Tamil Nadu"/>
    <s v="Technology"/>
    <s v="Accessories"/>
    <s v="Wireless Mouse"/>
    <n v="69027"/>
    <n v="2"/>
    <s v="20%"/>
    <n v="6149.1"/>
    <x v="6"/>
    <x v="0"/>
  </r>
  <r>
    <s v="ORD1140"/>
    <d v="2025-07-25T00:00:00"/>
    <s v="Rohit Gupta"/>
    <x v="2"/>
    <s v="Kerala"/>
    <s v="Furniture"/>
    <s v="Table"/>
    <s v="Study Table"/>
    <n v="33505"/>
    <n v="9"/>
    <s v="5%"/>
    <n v="3540.28"/>
    <x v="4"/>
    <x v="0"/>
  </r>
  <r>
    <s v="ORD1141"/>
    <d v="2025-06-14T00:00:00"/>
    <s v="Priya Verma"/>
    <x v="2"/>
    <s v="Tamil Nadu"/>
    <s v="Technology"/>
    <s v="Accessories"/>
    <s v="Wireless Mouse"/>
    <n v="9075"/>
    <n v="8"/>
    <s v="10%"/>
    <n v="2246.2800000000002"/>
    <x v="9"/>
    <x v="0"/>
  </r>
  <r>
    <s v="ORD1142"/>
    <d v="2025-12-08T00:00:00"/>
    <s v="Rohit Gupta"/>
    <x v="0"/>
    <s v="Haryana"/>
    <s v="Technology"/>
    <s v="Mobile"/>
    <s v="Samsung Galaxy"/>
    <n v="64129"/>
    <n v="5"/>
    <s v="20%"/>
    <n v="14993.44"/>
    <x v="7"/>
    <x v="0"/>
  </r>
  <r>
    <s v="ORD1143"/>
    <d v="2025-09-28T00:00:00"/>
    <s v="Amit Kumar"/>
    <x v="3"/>
    <s v="Maharashtra"/>
    <s v="Furniture"/>
    <s v="Table"/>
    <s v="Study Table"/>
    <n v="42412"/>
    <n v="1"/>
    <s v="20%"/>
    <n v="3913.68"/>
    <x v="5"/>
    <x v="0"/>
  </r>
  <r>
    <s v="ORD1144"/>
    <d v="2025-03-04T00:00:00"/>
    <s v="Simran Kaur"/>
    <x v="0"/>
    <s v="Delhi"/>
    <s v="Furniture"/>
    <s v="Chair"/>
    <s v="Office Chair"/>
    <n v="15541"/>
    <n v="1"/>
    <s v="5%"/>
    <n v="1420.93"/>
    <x v="6"/>
    <x v="0"/>
  </r>
  <r>
    <s v="ORD1145"/>
    <d v="2025-11-07T00:00:00"/>
    <s v="Simran Kaur"/>
    <x v="3"/>
    <s v="Maharashtra"/>
    <s v="Technology"/>
    <s v="Accessories"/>
    <s v="Wireless Mouse"/>
    <n v="23683"/>
    <n v="1"/>
    <s v="10%"/>
    <n v="5122.58"/>
    <x v="1"/>
    <x v="0"/>
  </r>
  <r>
    <s v="ORD1146"/>
    <d v="2025-09-30T00:00:00"/>
    <s v="Amit Kumar"/>
    <x v="2"/>
    <s v="Tamil Nadu"/>
    <s v="Furniture"/>
    <s v="Table"/>
    <s v="Study Table"/>
    <n v="6666"/>
    <n v="3"/>
    <s v="20%"/>
    <n v="1607.3"/>
    <x v="5"/>
    <x v="0"/>
  </r>
  <r>
    <s v="ORD1147"/>
    <d v="2025-11-24T00:00:00"/>
    <s v="Amit Kumar"/>
    <x v="2"/>
    <s v="Karnataka"/>
    <s v="Technology"/>
    <s v="Accessories"/>
    <s v="Wireless Mouse"/>
    <n v="43044"/>
    <n v="5"/>
    <s v="15%"/>
    <n v="6826.37"/>
    <x v="1"/>
    <x v="0"/>
  </r>
  <r>
    <s v="ORD1148"/>
    <d v="2025-12-05T00:00:00"/>
    <s v="Simran Kaur"/>
    <x v="2"/>
    <s v="Tamil Nadu"/>
    <s v="Furniture"/>
    <s v="Bookcase"/>
    <s v="Wooden Bookcase"/>
    <n v="23140"/>
    <n v="5"/>
    <s v="15%"/>
    <n v="3666.06"/>
    <x v="7"/>
    <x v="0"/>
  </r>
  <r>
    <s v="ORD1149"/>
    <d v="2025-07-17T00:00:00"/>
    <s v="Sneha Joshi"/>
    <x v="2"/>
    <s v="Karnataka"/>
    <s v="Technology"/>
    <s v="Accessories"/>
    <s v="Wireless Mouse"/>
    <n v="1084"/>
    <n v="9"/>
    <s v="10%"/>
    <n v="145.63"/>
    <x v="4"/>
    <x v="0"/>
  </r>
  <r>
    <s v="ORD1150"/>
    <d v="2025-05-29T00:00:00"/>
    <s v="Rahul Sharma"/>
    <x v="1"/>
    <s v="Bihar"/>
    <s v="Office Supplies"/>
    <s v="Pen"/>
    <s v="Gel Pen Set"/>
    <n v="42656"/>
    <n v="4"/>
    <s v="20%"/>
    <n v="7814.42"/>
    <x v="3"/>
    <x v="0"/>
  </r>
  <r>
    <s v="ORD1151"/>
    <d v="2025-10-18T00:00:00"/>
    <s v="Anjali Mehta"/>
    <x v="0"/>
    <s v="Punjab"/>
    <s v="Technology"/>
    <s v="Laptop"/>
    <s v="HP Pavilion"/>
    <n v="74932"/>
    <n v="7"/>
    <s v="10%"/>
    <n v="8303.02"/>
    <x v="10"/>
    <x v="0"/>
  </r>
  <r>
    <s v="ORD1152"/>
    <d v="2025-12-07T00:00:00"/>
    <s v="Neha Singh"/>
    <x v="3"/>
    <s v="Rajasthan"/>
    <s v="Technology"/>
    <s v="Laptop"/>
    <s v="HP Pavilion"/>
    <n v="36804"/>
    <n v="9"/>
    <s v="0%"/>
    <n v="4687.13"/>
    <x v="7"/>
    <x v="0"/>
  </r>
  <r>
    <s v="ORD1153"/>
    <d v="2025-05-09T00:00:00"/>
    <s v="Simran Kaur"/>
    <x v="1"/>
    <s v="Bihar"/>
    <s v="Office Supplies"/>
    <s v="Pen"/>
    <s v="Gel Pen Set"/>
    <n v="59851"/>
    <n v="9"/>
    <s v="0%"/>
    <n v="11362.58"/>
    <x v="3"/>
    <x v="0"/>
  </r>
  <r>
    <s v="ORD1154"/>
    <d v="2025-05-23T00:00:00"/>
    <s v="Sneha Joshi"/>
    <x v="3"/>
    <s v="Maharashtra"/>
    <s v="Technology"/>
    <s v="Accessories"/>
    <s v="Wireless Mouse"/>
    <n v="40833"/>
    <n v="4"/>
    <s v="20%"/>
    <n v="9390.7199999999993"/>
    <x v="3"/>
    <x v="0"/>
  </r>
  <r>
    <s v="ORD1155"/>
    <d v="2025-10-01T00:00:00"/>
    <s v="Sneha Joshi"/>
    <x v="3"/>
    <s v="Rajasthan"/>
    <s v="Technology"/>
    <s v="Accessories"/>
    <s v="Wireless Mouse"/>
    <n v="54695"/>
    <n v="7"/>
    <s v="5%"/>
    <n v="13976.41"/>
    <x v="10"/>
    <x v="0"/>
  </r>
  <r>
    <s v="ORD1156"/>
    <d v="2025-09-26T00:00:00"/>
    <s v="Amit Kumar"/>
    <x v="2"/>
    <s v="Karnataka"/>
    <s v="Technology"/>
    <s v="Accessories"/>
    <s v="Wireless Mouse"/>
    <n v="44504"/>
    <n v="3"/>
    <s v="15%"/>
    <n v="8785.81"/>
    <x v="5"/>
    <x v="0"/>
  </r>
  <r>
    <s v="ORD1157"/>
    <d v="2025-11-09T00:00:00"/>
    <s v="Sneha Joshi"/>
    <x v="1"/>
    <s v="West Bengal"/>
    <s v="Furniture"/>
    <s v="Table"/>
    <s v="Study Table"/>
    <n v="1423"/>
    <n v="5"/>
    <s v="15%"/>
    <n v="184.09"/>
    <x v="1"/>
    <x v="0"/>
  </r>
  <r>
    <s v="ORD1158"/>
    <d v="2025-06-20T00:00:00"/>
    <s v="Sneha Joshi"/>
    <x v="3"/>
    <s v="Maharashtra"/>
    <s v="Office Supplies"/>
    <s v="Binder"/>
    <s v="A4 Binder"/>
    <n v="47767"/>
    <n v="8"/>
    <s v="20%"/>
    <n v="5453.95"/>
    <x v="9"/>
    <x v="0"/>
  </r>
  <r>
    <s v="ORD1159"/>
    <d v="2025-05-05T00:00:00"/>
    <s v="Karan Patel"/>
    <x v="0"/>
    <s v="Punjab"/>
    <s v="Office Supplies"/>
    <s v="Binder"/>
    <s v="A4 Binder"/>
    <n v="5097"/>
    <n v="6"/>
    <s v="5%"/>
    <n v="1201.26"/>
    <x v="3"/>
    <x v="0"/>
  </r>
  <r>
    <s v="ORD1160"/>
    <d v="2025-05-30T00:00:00"/>
    <s v="Priya Verma"/>
    <x v="1"/>
    <s v="Bihar"/>
    <s v="Office Supplies"/>
    <s v="Binder"/>
    <s v="A4 Binder"/>
    <n v="20713"/>
    <n v="1"/>
    <s v="0%"/>
    <n v="3535.88"/>
    <x v="3"/>
    <x v="0"/>
  </r>
  <r>
    <s v="ORD1161"/>
    <d v="2025-07-08T00:00:00"/>
    <s v="Neha Singh"/>
    <x v="1"/>
    <s v="Odisha"/>
    <s v="Office Supplies"/>
    <s v="Paper"/>
    <s v="A4 Paper Pack"/>
    <n v="38229"/>
    <n v="1"/>
    <s v="0%"/>
    <n v="8249.2000000000007"/>
    <x v="4"/>
    <x v="0"/>
  </r>
  <r>
    <s v="ORD1162"/>
    <d v="2025-05-16T00:00:00"/>
    <s v="Simran Kaur"/>
    <x v="3"/>
    <s v="Maharashtra"/>
    <s v="Office Supplies"/>
    <s v="Pen"/>
    <s v="Gel Pen Set"/>
    <n v="29318"/>
    <n v="9"/>
    <s v="0%"/>
    <n v="3288.43"/>
    <x v="3"/>
    <x v="0"/>
  </r>
  <r>
    <s v="ORD1163"/>
    <d v="2025-09-23T00:00:00"/>
    <s v="Rahul Sharma"/>
    <x v="3"/>
    <s v="Gujarat"/>
    <s v="Furniture"/>
    <s v="Chair"/>
    <s v="Office Chair"/>
    <n v="14919"/>
    <n v="2"/>
    <s v="5%"/>
    <n v="1653.52"/>
    <x v="5"/>
    <x v="0"/>
  </r>
  <r>
    <s v="ORD1164"/>
    <d v="2025-11-26T00:00:00"/>
    <s v="Karan Patel"/>
    <x v="1"/>
    <s v="Odisha"/>
    <s v="Furniture"/>
    <s v="Bookcase"/>
    <s v="Wooden Bookcase"/>
    <n v="40456"/>
    <n v="8"/>
    <s v="10%"/>
    <n v="9631.7000000000007"/>
    <x v="1"/>
    <x v="0"/>
  </r>
  <r>
    <s v="ORD1165"/>
    <d v="2025-05-06T00:00:00"/>
    <s v="Karan Patel"/>
    <x v="0"/>
    <s v="Punjab"/>
    <s v="Furniture"/>
    <s v="Bookcase"/>
    <s v="Wooden Bookcase"/>
    <n v="73573"/>
    <n v="1"/>
    <s v="5%"/>
    <n v="20167.16"/>
    <x v="3"/>
    <x v="0"/>
  </r>
  <r>
    <s v="ORD1166"/>
    <d v="2025-05-24T00:00:00"/>
    <s v="Karan Patel"/>
    <x v="3"/>
    <s v="Rajasthan"/>
    <s v="Office Supplies"/>
    <s v="Pen"/>
    <s v="Gel Pen Set"/>
    <n v="36845"/>
    <n v="1"/>
    <s v="0%"/>
    <n v="9852.17"/>
    <x v="3"/>
    <x v="0"/>
  </r>
  <r>
    <s v="ORD1167"/>
    <d v="2025-07-11T00:00:00"/>
    <s v="Neha Singh"/>
    <x v="2"/>
    <s v="Tamil Nadu"/>
    <s v="Furniture"/>
    <s v="Bookcase"/>
    <s v="Wooden Bookcase"/>
    <n v="68502"/>
    <n v="3"/>
    <s v="15%"/>
    <n v="5245.4"/>
    <x v="4"/>
    <x v="0"/>
  </r>
  <r>
    <s v="ORD1168"/>
    <d v="2025-12-01T00:00:00"/>
    <s v="Amit Kumar"/>
    <x v="3"/>
    <s v="Maharashtra"/>
    <s v="Furniture"/>
    <s v="Chair"/>
    <s v="Office Chair"/>
    <n v="22132"/>
    <n v="8"/>
    <s v="15%"/>
    <n v="1729.91"/>
    <x v="7"/>
    <x v="0"/>
  </r>
  <r>
    <s v="ORD1169"/>
    <d v="2025-11-03T00:00:00"/>
    <s v="Rahul Sharma"/>
    <x v="3"/>
    <s v="Rajasthan"/>
    <s v="Office Supplies"/>
    <s v="Binder"/>
    <s v="A4 Binder"/>
    <n v="30241"/>
    <n v="3"/>
    <s v="5%"/>
    <n v="8190.02"/>
    <x v="1"/>
    <x v="0"/>
  </r>
  <r>
    <s v="ORD1170"/>
    <d v="2025-05-31T00:00:00"/>
    <s v="Simran Kaur"/>
    <x v="3"/>
    <s v="Gujarat"/>
    <s v="Office Supplies"/>
    <s v="Paper"/>
    <s v="A4 Paper Pack"/>
    <n v="7148"/>
    <n v="8"/>
    <s v="5%"/>
    <n v="1618.63"/>
    <x v="3"/>
    <x v="0"/>
  </r>
  <r>
    <s v="ORD1171"/>
    <d v="2025-11-21T00:00:00"/>
    <s v="Arjun Rana"/>
    <x v="1"/>
    <s v="Bihar"/>
    <s v="Office Supplies"/>
    <s v="Binder"/>
    <s v="A4 Binder"/>
    <n v="29915"/>
    <n v="6"/>
    <s v="20%"/>
    <n v="7325.59"/>
    <x v="1"/>
    <x v="0"/>
  </r>
  <r>
    <s v="ORD1172"/>
    <d v="2025-02-22T00:00:00"/>
    <s v="Rohit Gupta"/>
    <x v="3"/>
    <s v="Gujarat"/>
    <s v="Office Supplies"/>
    <s v="Pen"/>
    <s v="Gel Pen Set"/>
    <n v="35983"/>
    <n v="1"/>
    <s v="15%"/>
    <n v="8265.91"/>
    <x v="11"/>
    <x v="0"/>
  </r>
  <r>
    <s v="ORD1173"/>
    <d v="2025-03-21T00:00:00"/>
    <s v="Rahul Sharma"/>
    <x v="1"/>
    <s v="Odisha"/>
    <s v="Furniture"/>
    <s v="Table"/>
    <s v="Study Table"/>
    <n v="54146"/>
    <n v="2"/>
    <s v="5%"/>
    <n v="5252.42"/>
    <x v="6"/>
    <x v="0"/>
  </r>
  <r>
    <s v="ORD1174"/>
    <d v="2025-10-09T00:00:00"/>
    <s v="Neha Singh"/>
    <x v="0"/>
    <s v="Delhi"/>
    <s v="Furniture"/>
    <s v="Table"/>
    <s v="Study Table"/>
    <n v="3883"/>
    <n v="4"/>
    <s v="10%"/>
    <n v="716.14"/>
    <x v="10"/>
    <x v="0"/>
  </r>
  <r>
    <s v="ORD1175"/>
    <d v="2025-09-26T00:00:00"/>
    <s v="Rohit Gupta"/>
    <x v="0"/>
    <s v="Haryana"/>
    <s v="Office Supplies"/>
    <s v="Pen"/>
    <s v="Gel Pen Set"/>
    <n v="75993"/>
    <n v="1"/>
    <s v="5%"/>
    <n v="19526.48"/>
    <x v="5"/>
    <x v="0"/>
  </r>
  <r>
    <s v="ORD1176"/>
    <d v="2025-04-09T00:00:00"/>
    <s v="Amit Kumar"/>
    <x v="1"/>
    <s v="Odisha"/>
    <s v="Office Supplies"/>
    <s v="Binder"/>
    <s v="A4 Binder"/>
    <n v="39651"/>
    <n v="10"/>
    <s v="10%"/>
    <n v="7095.31"/>
    <x v="0"/>
    <x v="0"/>
  </r>
  <r>
    <s v="ORD1177"/>
    <d v="2025-12-15T00:00:00"/>
    <s v="Amit Kumar"/>
    <x v="1"/>
    <s v="Bihar"/>
    <s v="Office Supplies"/>
    <s v="Binder"/>
    <s v="A4 Binder"/>
    <n v="73860"/>
    <n v="6"/>
    <s v="0%"/>
    <n v="6757.89"/>
    <x v="7"/>
    <x v="0"/>
  </r>
  <r>
    <s v="ORD1178"/>
    <d v="2025-09-22T00:00:00"/>
    <s v="Arjun Rana"/>
    <x v="0"/>
    <s v="Punjab"/>
    <s v="Furniture"/>
    <s v="Bookcase"/>
    <s v="Wooden Bookcase"/>
    <n v="33628"/>
    <n v="7"/>
    <s v="5%"/>
    <n v="7974.23"/>
    <x v="5"/>
    <x v="0"/>
  </r>
  <r>
    <s v="ORD1179"/>
    <d v="2025-06-16T00:00:00"/>
    <s v="Rahul Sharma"/>
    <x v="1"/>
    <s v="Bihar"/>
    <s v="Technology"/>
    <s v="Laptop"/>
    <s v="HP Pavilion"/>
    <n v="76361"/>
    <n v="4"/>
    <s v="15%"/>
    <n v="9323.98"/>
    <x v="9"/>
    <x v="0"/>
  </r>
  <r>
    <s v="ORD1180"/>
    <d v="2025-02-15T00:00:00"/>
    <s v="Amit Kumar"/>
    <x v="1"/>
    <s v="Bihar"/>
    <s v="Furniture"/>
    <s v="Bookcase"/>
    <s v="Wooden Bookcase"/>
    <n v="13305"/>
    <n v="5"/>
    <s v="0%"/>
    <n v="3698.95"/>
    <x v="11"/>
    <x v="0"/>
  </r>
  <r>
    <s v="ORD1181"/>
    <d v="2025-11-30T00:00:00"/>
    <s v="Simran Kaur"/>
    <x v="3"/>
    <s v="Gujarat"/>
    <s v="Office Supplies"/>
    <s v="Binder"/>
    <s v="A4 Binder"/>
    <n v="39183"/>
    <n v="7"/>
    <s v="10%"/>
    <n v="8559.33"/>
    <x v="1"/>
    <x v="0"/>
  </r>
  <r>
    <s v="ORD1182"/>
    <d v="2025-10-07T00:00:00"/>
    <s v="Sneha Joshi"/>
    <x v="0"/>
    <s v="Haryana"/>
    <s v="Furniture"/>
    <s v="Bookcase"/>
    <s v="Wooden Bookcase"/>
    <n v="53670"/>
    <n v="9"/>
    <s v="5%"/>
    <n v="12735.12"/>
    <x v="10"/>
    <x v="0"/>
  </r>
  <r>
    <s v="ORD1183"/>
    <d v="2025-07-01T00:00:00"/>
    <s v="Rohit Gupta"/>
    <x v="2"/>
    <s v="Kerala"/>
    <s v="Technology"/>
    <s v="Mobile"/>
    <s v="Samsung Galaxy"/>
    <n v="31194"/>
    <n v="8"/>
    <s v="10%"/>
    <n v="4762.42"/>
    <x v="4"/>
    <x v="0"/>
  </r>
  <r>
    <s v="ORD1184"/>
    <d v="2025-07-05T00:00:00"/>
    <s v="Anjali Mehta"/>
    <x v="1"/>
    <s v="West Bengal"/>
    <s v="Technology"/>
    <s v="Accessories"/>
    <s v="Wireless Mouse"/>
    <n v="42947"/>
    <n v="6"/>
    <s v="15%"/>
    <n v="9638.75"/>
    <x v="4"/>
    <x v="0"/>
  </r>
  <r>
    <s v="ORD1185"/>
    <d v="2025-02-27T00:00:00"/>
    <s v="Karan Patel"/>
    <x v="1"/>
    <s v="West Bengal"/>
    <s v="Technology"/>
    <s v="Mobile"/>
    <s v="Samsung Galaxy"/>
    <n v="2966"/>
    <n v="1"/>
    <s v="5%"/>
    <n v="454.62"/>
    <x v="11"/>
    <x v="0"/>
  </r>
  <r>
    <s v="ORD1186"/>
    <d v="2025-11-11T00:00:00"/>
    <s v="Karan Patel"/>
    <x v="1"/>
    <s v="West Bengal"/>
    <s v="Furniture"/>
    <s v="Table"/>
    <s v="Study Table"/>
    <n v="48509"/>
    <n v="10"/>
    <s v="5%"/>
    <n v="7673.42"/>
    <x v="1"/>
    <x v="0"/>
  </r>
  <r>
    <s v="ORD1187"/>
    <d v="2025-11-03T00:00:00"/>
    <s v="Sneha Joshi"/>
    <x v="0"/>
    <s v="Delhi"/>
    <s v="Technology"/>
    <s v="Mobile"/>
    <s v="Samsung Galaxy"/>
    <n v="23003"/>
    <n v="10"/>
    <s v="0%"/>
    <n v="5306.94"/>
    <x v="1"/>
    <x v="0"/>
  </r>
  <r>
    <s v="ORD1188"/>
    <d v="2025-09-30T00:00:00"/>
    <s v="Priya Verma"/>
    <x v="0"/>
    <s v="Delhi"/>
    <s v="Furniture"/>
    <s v="Chair"/>
    <s v="Office Chair"/>
    <n v="32323"/>
    <n v="9"/>
    <s v="0%"/>
    <n v="7943.55"/>
    <x v="5"/>
    <x v="0"/>
  </r>
  <r>
    <s v="ORD1189"/>
    <d v="2025-12-12T00:00:00"/>
    <s v="Sneha Joshi"/>
    <x v="1"/>
    <s v="Odisha"/>
    <s v="Office Supplies"/>
    <s v="Binder"/>
    <s v="A4 Binder"/>
    <n v="38647"/>
    <n v="10"/>
    <s v="5%"/>
    <n v="2998.68"/>
    <x v="7"/>
    <x v="0"/>
  </r>
  <r>
    <s v="ORD1190"/>
    <d v="2025-04-05T00:00:00"/>
    <s v="Arjun Rana"/>
    <x v="2"/>
    <s v="Karnataka"/>
    <s v="Furniture"/>
    <s v="Chair"/>
    <s v="Office Chair"/>
    <n v="71703"/>
    <n v="4"/>
    <s v="15%"/>
    <n v="6138.11"/>
    <x v="0"/>
    <x v="0"/>
  </r>
  <r>
    <s v="ORD1191"/>
    <d v="2025-07-23T00:00:00"/>
    <s v="Simran Kaur"/>
    <x v="0"/>
    <s v="Haryana"/>
    <s v="Furniture"/>
    <s v="Bookcase"/>
    <s v="Wooden Bookcase"/>
    <n v="35981"/>
    <n v="9"/>
    <s v="15%"/>
    <n v="7860.01"/>
    <x v="4"/>
    <x v="0"/>
  </r>
  <r>
    <s v="ORD1192"/>
    <d v="2025-07-18T00:00:00"/>
    <s v="Priya Verma"/>
    <x v="0"/>
    <s v="Haryana"/>
    <s v="Office Supplies"/>
    <s v="Binder"/>
    <s v="A4 Binder"/>
    <n v="37464"/>
    <n v="9"/>
    <s v="15%"/>
    <n v="3173.56"/>
    <x v="4"/>
    <x v="0"/>
  </r>
  <r>
    <s v="ORD1193"/>
    <d v="2025-01-20T00:00:00"/>
    <s v="Rahul Sharma"/>
    <x v="0"/>
    <s v="Punjab"/>
    <s v="Office Supplies"/>
    <s v="Pen"/>
    <s v="Gel Pen Set"/>
    <n v="42598"/>
    <n v="9"/>
    <s v="20%"/>
    <n v="2882.79"/>
    <x v="8"/>
    <x v="0"/>
  </r>
  <r>
    <s v="ORD1194"/>
    <d v="2025-01-01T00:00:00"/>
    <s v="Arjun Rana"/>
    <x v="2"/>
    <s v="Tamil Nadu"/>
    <s v="Office Supplies"/>
    <s v="Paper"/>
    <s v="A4 Paper Pack"/>
    <n v="5617"/>
    <n v="9"/>
    <s v="20%"/>
    <n v="650.4"/>
    <x v="8"/>
    <x v="0"/>
  </r>
  <r>
    <s v="ORD1195"/>
    <d v="2025-05-27T00:00:00"/>
    <s v="Neha Singh"/>
    <x v="3"/>
    <s v="Maharashtra"/>
    <s v="Technology"/>
    <s v="Mobile"/>
    <s v="Samsung Galaxy"/>
    <n v="69928"/>
    <n v="5"/>
    <s v="15%"/>
    <n v="9342.7000000000007"/>
    <x v="3"/>
    <x v="0"/>
  </r>
  <r>
    <s v="ORD1196"/>
    <d v="2025-06-08T00:00:00"/>
    <s v="Rahul Sharma"/>
    <x v="2"/>
    <s v="Tamil Nadu"/>
    <s v="Technology"/>
    <s v="Accessories"/>
    <s v="Wireless Mouse"/>
    <n v="38589"/>
    <n v="5"/>
    <s v="10%"/>
    <n v="6358.95"/>
    <x v="9"/>
    <x v="0"/>
  </r>
  <r>
    <s v="ORD1197"/>
    <d v="2025-09-19T00:00:00"/>
    <s v="Rohit Gupta"/>
    <x v="3"/>
    <s v="Rajasthan"/>
    <s v="Office Supplies"/>
    <s v="Paper"/>
    <s v="A4 Paper Pack"/>
    <n v="1167"/>
    <n v="8"/>
    <s v="15%"/>
    <n v="123.38"/>
    <x v="5"/>
    <x v="0"/>
  </r>
  <r>
    <s v="ORD1198"/>
    <d v="2025-08-03T00:00:00"/>
    <s v="Simran Kaur"/>
    <x v="1"/>
    <s v="Odisha"/>
    <s v="Furniture"/>
    <s v="Bookcase"/>
    <s v="Wooden Bookcase"/>
    <n v="53293"/>
    <n v="2"/>
    <s v="0%"/>
    <n v="11037.01"/>
    <x v="2"/>
    <x v="0"/>
  </r>
  <r>
    <s v="ORD1199"/>
    <d v="2025-09-19T00:00:00"/>
    <s v="Sneha Joshi"/>
    <x v="0"/>
    <s v="Haryana"/>
    <s v="Office Supplies"/>
    <s v="Pen"/>
    <s v="Gel Pen Set"/>
    <n v="68474"/>
    <n v="3"/>
    <s v="0%"/>
    <n v="16138.03"/>
    <x v="5"/>
    <x v="0"/>
  </r>
  <r>
    <s v="ORD1200"/>
    <d v="2025-08-04T00:00:00"/>
    <s v="Rohit Gupta"/>
    <x v="0"/>
    <s v="Haryana"/>
    <s v="Technology"/>
    <s v="Mobile"/>
    <s v="Samsung Galaxy"/>
    <n v="27197"/>
    <n v="7"/>
    <s v="5%"/>
    <n v="5866.1"/>
    <x v="2"/>
    <x v="0"/>
  </r>
  <r>
    <s v="ORD1201"/>
    <d v="2025-11-09T00:00:00"/>
    <s v="Rohit Gupta"/>
    <x v="1"/>
    <s v="Bihar"/>
    <s v="Furniture"/>
    <s v="Bookcase"/>
    <s v="Wooden Bookcase"/>
    <n v="29771"/>
    <n v="1"/>
    <s v="10%"/>
    <n v="2910.49"/>
    <x v="1"/>
    <x v="0"/>
  </r>
  <r>
    <s v="ORD1202"/>
    <d v="2025-10-16T00:00:00"/>
    <s v="Amit Kumar"/>
    <x v="0"/>
    <s v="Delhi"/>
    <s v="Office Supplies"/>
    <s v="Paper"/>
    <s v="A4 Paper Pack"/>
    <n v="39479"/>
    <n v="7"/>
    <s v="10%"/>
    <n v="7247.87"/>
    <x v="10"/>
    <x v="0"/>
  </r>
  <r>
    <s v="ORD1203"/>
    <d v="2025-07-21T00:00:00"/>
    <s v="Sneha Joshi"/>
    <x v="0"/>
    <s v="Punjab"/>
    <s v="Furniture"/>
    <s v="Bookcase"/>
    <s v="Wooden Bookcase"/>
    <n v="51557"/>
    <n v="6"/>
    <s v="5%"/>
    <n v="7906.34"/>
    <x v="4"/>
    <x v="0"/>
  </r>
  <r>
    <s v="ORD1204"/>
    <d v="2025-10-11T00:00:00"/>
    <s v="Amit Kumar"/>
    <x v="3"/>
    <s v="Rajasthan"/>
    <s v="Office Supplies"/>
    <s v="Paper"/>
    <s v="A4 Paper Pack"/>
    <n v="32191"/>
    <n v="8"/>
    <s v="10%"/>
    <n v="4966.68"/>
    <x v="10"/>
    <x v="0"/>
  </r>
  <r>
    <s v="ORD1205"/>
    <d v="2025-09-23T00:00:00"/>
    <s v="Sneha Joshi"/>
    <x v="0"/>
    <s v="Haryana"/>
    <s v="Technology"/>
    <s v="Laptop"/>
    <s v="HP Pavilion"/>
    <n v="19464"/>
    <n v="2"/>
    <s v="5%"/>
    <n v="4784.8500000000004"/>
    <x v="5"/>
    <x v="0"/>
  </r>
  <r>
    <s v="ORD1206"/>
    <d v="2025-10-09T00:00:00"/>
    <s v="Arjun Rana"/>
    <x v="3"/>
    <s v="Maharashtra"/>
    <s v="Office Supplies"/>
    <s v="Binder"/>
    <s v="A4 Binder"/>
    <n v="41224"/>
    <n v="2"/>
    <s v="20%"/>
    <n v="4745.42"/>
    <x v="10"/>
    <x v="0"/>
  </r>
  <r>
    <s v="ORD1207"/>
    <d v="2025-03-15T00:00:00"/>
    <s v="Amit Kumar"/>
    <x v="1"/>
    <s v="West Bengal"/>
    <s v="Office Supplies"/>
    <s v="Pen"/>
    <s v="Gel Pen Set"/>
    <n v="45696"/>
    <n v="3"/>
    <s v="0%"/>
    <n v="10236.31"/>
    <x v="6"/>
    <x v="0"/>
  </r>
  <r>
    <s v="ORD1208"/>
    <d v="2025-07-08T00:00:00"/>
    <s v="Anjali Mehta"/>
    <x v="0"/>
    <s v="Haryana"/>
    <s v="Furniture"/>
    <s v="Chair"/>
    <s v="Office Chair"/>
    <n v="41690"/>
    <n v="8"/>
    <s v="5%"/>
    <n v="9045.8700000000008"/>
    <x v="4"/>
    <x v="0"/>
  </r>
  <r>
    <s v="ORD1209"/>
    <d v="2025-08-02T00:00:00"/>
    <s v="Neha Singh"/>
    <x v="0"/>
    <s v="Haryana"/>
    <s v="Technology"/>
    <s v="Mobile"/>
    <s v="Samsung Galaxy"/>
    <n v="69457"/>
    <n v="9"/>
    <s v="20%"/>
    <n v="10512.2"/>
    <x v="2"/>
    <x v="0"/>
  </r>
  <r>
    <s v="ORD1210"/>
    <d v="2025-07-22T00:00:00"/>
    <s v="Rahul Sharma"/>
    <x v="0"/>
    <s v="Delhi"/>
    <s v="Furniture"/>
    <s v="Chair"/>
    <s v="Office Chair"/>
    <n v="60281"/>
    <n v="4"/>
    <s v="15%"/>
    <n v="15409.69"/>
    <x v="4"/>
    <x v="0"/>
  </r>
  <r>
    <s v="ORD1211"/>
    <d v="2025-02-27T00:00:00"/>
    <s v="Anjali Mehta"/>
    <x v="3"/>
    <s v="Maharashtra"/>
    <s v="Furniture"/>
    <s v="Bookcase"/>
    <s v="Wooden Bookcase"/>
    <n v="66068"/>
    <n v="9"/>
    <s v="15%"/>
    <n v="14629.47"/>
    <x v="11"/>
    <x v="0"/>
  </r>
  <r>
    <s v="ORD1212"/>
    <d v="2025-07-10T00:00:00"/>
    <s v="Anjali Mehta"/>
    <x v="0"/>
    <s v="Haryana"/>
    <s v="Technology"/>
    <s v="Mobile"/>
    <s v="Samsung Galaxy"/>
    <n v="53800"/>
    <n v="1"/>
    <s v="10%"/>
    <n v="6838.32"/>
    <x v="4"/>
    <x v="0"/>
  </r>
  <r>
    <s v="ORD1213"/>
    <d v="2025-05-20T00:00:00"/>
    <s v="Rahul Sharma"/>
    <x v="1"/>
    <s v="West Bengal"/>
    <s v="Technology"/>
    <s v="Mobile"/>
    <s v="Samsung Galaxy"/>
    <n v="31512"/>
    <n v="10"/>
    <s v="10%"/>
    <n v="8433.5300000000007"/>
    <x v="3"/>
    <x v="0"/>
  </r>
  <r>
    <s v="ORD1214"/>
    <d v="2025-02-17T00:00:00"/>
    <s v="Amit Kumar"/>
    <x v="3"/>
    <s v="Gujarat"/>
    <s v="Technology"/>
    <s v="Mobile"/>
    <s v="Samsung Galaxy"/>
    <n v="2511"/>
    <n v="3"/>
    <s v="0%"/>
    <n v="521.12"/>
    <x v="11"/>
    <x v="0"/>
  </r>
  <r>
    <s v="ORD1215"/>
    <d v="2025-11-13T00:00:00"/>
    <s v="Simran Kaur"/>
    <x v="3"/>
    <s v="Gujarat"/>
    <s v="Furniture"/>
    <s v="Chair"/>
    <s v="Office Chair"/>
    <n v="71051"/>
    <n v="2"/>
    <s v="20%"/>
    <n v="10108.81"/>
    <x v="1"/>
    <x v="0"/>
  </r>
  <r>
    <s v="ORD1216"/>
    <d v="2025-06-29T00:00:00"/>
    <s v="Neha Singh"/>
    <x v="2"/>
    <s v="Kerala"/>
    <s v="Office Supplies"/>
    <s v="Binder"/>
    <s v="A4 Binder"/>
    <n v="79054"/>
    <n v="6"/>
    <s v="5%"/>
    <n v="20547.46"/>
    <x v="9"/>
    <x v="0"/>
  </r>
  <r>
    <s v="ORD1217"/>
    <d v="2025-04-26T00:00:00"/>
    <s v="Karan Patel"/>
    <x v="1"/>
    <s v="West Bengal"/>
    <s v="Technology"/>
    <s v="Accessories"/>
    <s v="Wireless Mouse"/>
    <n v="75767"/>
    <n v="7"/>
    <s v="0%"/>
    <n v="15383.4"/>
    <x v="0"/>
    <x v="0"/>
  </r>
  <r>
    <s v="ORD1218"/>
    <d v="2025-06-11T00:00:00"/>
    <s v="Rahul Sharma"/>
    <x v="0"/>
    <s v="Haryana"/>
    <s v="Furniture"/>
    <s v="Bookcase"/>
    <s v="Wooden Bookcase"/>
    <n v="2066"/>
    <n v="4"/>
    <s v="0%"/>
    <n v="279.69"/>
    <x v="9"/>
    <x v="0"/>
  </r>
  <r>
    <s v="ORD1219"/>
    <d v="2025-05-12T00:00:00"/>
    <s v="Priya Verma"/>
    <x v="0"/>
    <s v="Haryana"/>
    <s v="Office Supplies"/>
    <s v="Binder"/>
    <s v="A4 Binder"/>
    <n v="31688"/>
    <n v="5"/>
    <s v="20%"/>
    <n v="4987.55"/>
    <x v="3"/>
    <x v="0"/>
  </r>
  <r>
    <s v="ORD1220"/>
    <d v="2025-09-18T00:00:00"/>
    <s v="Rahul Sharma"/>
    <x v="2"/>
    <s v="Kerala"/>
    <s v="Technology"/>
    <s v="Mobile"/>
    <s v="Samsung Galaxy"/>
    <n v="41843"/>
    <n v="10"/>
    <s v="5%"/>
    <n v="7459.79"/>
    <x v="5"/>
    <x v="0"/>
  </r>
  <r>
    <s v="ORD1221"/>
    <d v="2025-11-28T00:00:00"/>
    <s v="Amit Kumar"/>
    <x v="2"/>
    <s v="Tamil Nadu"/>
    <s v="Technology"/>
    <s v="Accessories"/>
    <s v="Wireless Mouse"/>
    <n v="69387"/>
    <n v="10"/>
    <s v="15%"/>
    <n v="8831.82"/>
    <x v="1"/>
    <x v="0"/>
  </r>
  <r>
    <s v="ORD1222"/>
    <d v="2025-09-20T00:00:00"/>
    <s v="Simran Kaur"/>
    <x v="0"/>
    <s v="Delhi"/>
    <s v="Office Supplies"/>
    <s v="Paper"/>
    <s v="A4 Paper Pack"/>
    <n v="52750"/>
    <n v="8"/>
    <s v="5%"/>
    <n v="12030.81"/>
    <x v="5"/>
    <x v="0"/>
  </r>
  <r>
    <s v="ORD1223"/>
    <d v="2025-11-17T00:00:00"/>
    <s v="Rohit Gupta"/>
    <x v="3"/>
    <s v="Maharashtra"/>
    <s v="Technology"/>
    <s v="Laptop"/>
    <s v="HP Pavilion"/>
    <n v="73997"/>
    <n v="8"/>
    <s v="20%"/>
    <n v="16570.29"/>
    <x v="1"/>
    <x v="0"/>
  </r>
  <r>
    <s v="ORD1224"/>
    <d v="2025-09-13T00:00:00"/>
    <s v="Rahul Sharma"/>
    <x v="2"/>
    <s v="Kerala"/>
    <s v="Office Supplies"/>
    <s v="Binder"/>
    <s v="A4 Binder"/>
    <n v="45202"/>
    <n v="10"/>
    <s v="0%"/>
    <n v="7158.64"/>
    <x v="5"/>
    <x v="0"/>
  </r>
  <r>
    <s v="ORD1225"/>
    <d v="2025-04-20T00:00:00"/>
    <s v="Rohit Gupta"/>
    <x v="3"/>
    <s v="Maharashtra"/>
    <s v="Furniture"/>
    <s v="Table"/>
    <s v="Study Table"/>
    <n v="3476"/>
    <n v="8"/>
    <s v="15%"/>
    <n v="372.93"/>
    <x v="0"/>
    <x v="0"/>
  </r>
  <r>
    <s v="ORD1226"/>
    <d v="2025-08-19T00:00:00"/>
    <s v="Amit Kumar"/>
    <x v="1"/>
    <s v="West Bengal"/>
    <s v="Furniture"/>
    <s v="Bookcase"/>
    <s v="Wooden Bookcase"/>
    <n v="61204"/>
    <n v="6"/>
    <s v="0%"/>
    <n v="10686.46"/>
    <x v="2"/>
    <x v="0"/>
  </r>
  <r>
    <s v="ORD1227"/>
    <d v="2025-10-15T00:00:00"/>
    <s v="Rohit Gupta"/>
    <x v="0"/>
    <s v="Punjab"/>
    <s v="Furniture"/>
    <s v="Table"/>
    <s v="Study Table"/>
    <n v="13187"/>
    <n v="1"/>
    <s v="20%"/>
    <n v="2333.14"/>
    <x v="10"/>
    <x v="0"/>
  </r>
  <r>
    <s v="ORD1228"/>
    <d v="2025-10-25T00:00:00"/>
    <s v="Arjun Rana"/>
    <x v="3"/>
    <s v="Gujarat"/>
    <s v="Office Supplies"/>
    <s v="Paper"/>
    <s v="A4 Paper Pack"/>
    <n v="69005"/>
    <n v="8"/>
    <s v="15%"/>
    <n v="7924.46"/>
    <x v="10"/>
    <x v="0"/>
  </r>
  <r>
    <s v="ORD1229"/>
    <d v="2025-06-20T00:00:00"/>
    <s v="Arjun Rana"/>
    <x v="0"/>
    <s v="Haryana"/>
    <s v="Furniture"/>
    <s v="Table"/>
    <s v="Study Table"/>
    <n v="6433"/>
    <n v="5"/>
    <s v="20%"/>
    <n v="497.9"/>
    <x v="9"/>
    <x v="0"/>
  </r>
  <r>
    <s v="ORD1230"/>
    <d v="2025-05-12T00:00:00"/>
    <s v="Simran Kaur"/>
    <x v="0"/>
    <s v="Punjab"/>
    <s v="Technology"/>
    <s v="Accessories"/>
    <s v="Wireless Mouse"/>
    <n v="40084"/>
    <n v="5"/>
    <s v="20%"/>
    <n v="8302.6"/>
    <x v="3"/>
    <x v="0"/>
  </r>
  <r>
    <s v="ORD1231"/>
    <d v="2025-09-15T00:00:00"/>
    <s v="Karan Patel"/>
    <x v="1"/>
    <s v="Bihar"/>
    <s v="Furniture"/>
    <s v="Table"/>
    <s v="Study Table"/>
    <n v="46415"/>
    <n v="1"/>
    <s v="0%"/>
    <n v="11074.2"/>
    <x v="5"/>
    <x v="0"/>
  </r>
  <r>
    <s v="ORD1232"/>
    <d v="2025-12-12T00:00:00"/>
    <s v="Sneha Joshi"/>
    <x v="2"/>
    <s v="Tamil Nadu"/>
    <s v="Furniture"/>
    <s v="Table"/>
    <s v="Study Table"/>
    <n v="3692"/>
    <n v="5"/>
    <s v="15%"/>
    <n v="941.67"/>
    <x v="7"/>
    <x v="0"/>
  </r>
  <r>
    <s v="ORD1233"/>
    <d v="2025-04-19T00:00:00"/>
    <s v="Priya Verma"/>
    <x v="1"/>
    <s v="Odisha"/>
    <s v="Technology"/>
    <s v="Mobile"/>
    <s v="Samsung Galaxy"/>
    <n v="78618"/>
    <n v="5"/>
    <s v="5%"/>
    <n v="10103.39"/>
    <x v="0"/>
    <x v="0"/>
  </r>
  <r>
    <s v="ORD1234"/>
    <d v="2025-02-24T00:00:00"/>
    <s v="Rohit Gupta"/>
    <x v="0"/>
    <s v="Haryana"/>
    <s v="Office Supplies"/>
    <s v="Binder"/>
    <s v="A4 Binder"/>
    <n v="40219"/>
    <n v="4"/>
    <s v="15%"/>
    <n v="9636.3700000000008"/>
    <x v="11"/>
    <x v="0"/>
  </r>
  <r>
    <s v="ORD1235"/>
    <d v="2025-01-18T00:00:00"/>
    <s v="Priya Verma"/>
    <x v="2"/>
    <s v="Karnataka"/>
    <s v="Technology"/>
    <s v="Mobile"/>
    <s v="Samsung Galaxy"/>
    <n v="22769"/>
    <n v="1"/>
    <s v="20%"/>
    <n v="3822.24"/>
    <x v="8"/>
    <x v="0"/>
  </r>
  <r>
    <s v="ORD1236"/>
    <d v="2025-05-16T00:00:00"/>
    <s v="Amit Kumar"/>
    <x v="3"/>
    <s v="Rajasthan"/>
    <s v="Technology"/>
    <s v="Laptop"/>
    <s v="HP Pavilion"/>
    <n v="1894"/>
    <n v="8"/>
    <s v="0%"/>
    <n v="344.51"/>
    <x v="3"/>
    <x v="0"/>
  </r>
  <r>
    <s v="ORD1237"/>
    <d v="2025-12-21T00:00:00"/>
    <s v="Amit Kumar"/>
    <x v="1"/>
    <s v="Bihar"/>
    <s v="Furniture"/>
    <s v="Table"/>
    <s v="Study Table"/>
    <n v="59400"/>
    <n v="2"/>
    <s v="5%"/>
    <n v="16236.37"/>
    <x v="7"/>
    <x v="0"/>
  </r>
  <r>
    <s v="ORD1238"/>
    <d v="2025-01-18T00:00:00"/>
    <s v="Neha Singh"/>
    <x v="1"/>
    <s v="West Bengal"/>
    <s v="Technology"/>
    <s v="Accessories"/>
    <s v="Wireless Mouse"/>
    <n v="46827"/>
    <n v="7"/>
    <s v="0%"/>
    <n v="7014.11"/>
    <x v="8"/>
    <x v="0"/>
  </r>
  <r>
    <s v="ORD1239"/>
    <d v="2025-04-12T00:00:00"/>
    <s v="Karan Patel"/>
    <x v="0"/>
    <s v="Delhi"/>
    <s v="Technology"/>
    <s v="Accessories"/>
    <s v="Wireless Mouse"/>
    <n v="59664"/>
    <n v="7"/>
    <s v="10%"/>
    <n v="7631.66"/>
    <x v="0"/>
    <x v="0"/>
  </r>
  <r>
    <s v="ORD1240"/>
    <d v="2025-02-25T00:00:00"/>
    <s v="Simran Kaur"/>
    <x v="1"/>
    <s v="Bihar"/>
    <s v="Technology"/>
    <s v="Mobile"/>
    <s v="Samsung Galaxy"/>
    <n v="21580"/>
    <n v="9"/>
    <s v="10%"/>
    <n v="5160.9399999999996"/>
    <x v="11"/>
    <x v="0"/>
  </r>
  <r>
    <s v="ORD1241"/>
    <d v="2025-02-22T00:00:00"/>
    <s v="Rohit Gupta"/>
    <x v="3"/>
    <s v="Gujarat"/>
    <s v="Technology"/>
    <s v="Mobile"/>
    <s v="Samsung Galaxy"/>
    <n v="840"/>
    <n v="9"/>
    <s v="15%"/>
    <n v="217.46"/>
    <x v="11"/>
    <x v="0"/>
  </r>
  <r>
    <s v="ORD1242"/>
    <d v="2025-08-13T00:00:00"/>
    <s v="Neha Singh"/>
    <x v="0"/>
    <s v="Punjab"/>
    <s v="Furniture"/>
    <s v="Chair"/>
    <s v="Office Chair"/>
    <n v="13862"/>
    <n v="4"/>
    <s v="5%"/>
    <n v="1154.81"/>
    <x v="2"/>
    <x v="0"/>
  </r>
  <r>
    <s v="ORD1243"/>
    <d v="2025-05-05T00:00:00"/>
    <s v="Neha Singh"/>
    <x v="0"/>
    <s v="Haryana"/>
    <s v="Technology"/>
    <s v="Mobile"/>
    <s v="Samsung Galaxy"/>
    <n v="7052"/>
    <n v="9"/>
    <s v="5%"/>
    <n v="1355.78"/>
    <x v="3"/>
    <x v="0"/>
  </r>
  <r>
    <s v="ORD1244"/>
    <d v="2025-02-14T00:00:00"/>
    <s v="Rahul Sharma"/>
    <x v="0"/>
    <s v="Delhi"/>
    <s v="Office Supplies"/>
    <s v="Pen"/>
    <s v="Gel Pen Set"/>
    <n v="10999"/>
    <n v="9"/>
    <s v="15%"/>
    <n v="1591.75"/>
    <x v="11"/>
    <x v="0"/>
  </r>
  <r>
    <s v="ORD1245"/>
    <d v="2025-02-11T00:00:00"/>
    <s v="Amit Kumar"/>
    <x v="0"/>
    <s v="Punjab"/>
    <s v="Technology"/>
    <s v="Mobile"/>
    <s v="Samsung Galaxy"/>
    <n v="11703"/>
    <n v="7"/>
    <s v="15%"/>
    <n v="2587.79"/>
    <x v="11"/>
    <x v="0"/>
  </r>
  <r>
    <s v="ORD1246"/>
    <d v="2025-03-11T00:00:00"/>
    <s v="Priya Verma"/>
    <x v="0"/>
    <s v="Punjab"/>
    <s v="Office Supplies"/>
    <s v="Pen"/>
    <s v="Gel Pen Set"/>
    <n v="51460"/>
    <n v="7"/>
    <s v="0%"/>
    <n v="8124.45"/>
    <x v="6"/>
    <x v="0"/>
  </r>
  <r>
    <s v="ORD1247"/>
    <d v="2025-07-03T00:00:00"/>
    <s v="Neha Singh"/>
    <x v="3"/>
    <s v="Maharashtra"/>
    <s v="Technology"/>
    <s v="Laptop"/>
    <s v="HP Pavilion"/>
    <n v="47189"/>
    <n v="6"/>
    <s v="15%"/>
    <n v="11827.54"/>
    <x v="4"/>
    <x v="0"/>
  </r>
  <r>
    <s v="ORD1248"/>
    <d v="2025-12-15T00:00:00"/>
    <s v="Rahul Sharma"/>
    <x v="1"/>
    <s v="West Bengal"/>
    <s v="Office Supplies"/>
    <s v="Pen"/>
    <s v="Gel Pen Set"/>
    <n v="16134"/>
    <n v="8"/>
    <s v="20%"/>
    <n v="3307.11"/>
    <x v="7"/>
    <x v="0"/>
  </r>
  <r>
    <s v="ORD1249"/>
    <d v="2025-11-24T00:00:00"/>
    <s v="Arjun Rana"/>
    <x v="3"/>
    <s v="Gujarat"/>
    <s v="Furniture"/>
    <s v="Table"/>
    <s v="Study Table"/>
    <n v="48619"/>
    <n v="2"/>
    <s v="15%"/>
    <n v="12456.72"/>
    <x v="1"/>
    <x v="0"/>
  </r>
  <r>
    <s v="ORD1250"/>
    <d v="2025-12-25T00:00:00"/>
    <s v="Simran Kaur"/>
    <x v="2"/>
    <s v="Karnataka"/>
    <s v="Furniture"/>
    <s v="Chair"/>
    <s v="Office Chair"/>
    <n v="40953"/>
    <n v="10"/>
    <s v="20%"/>
    <n v="5784.25"/>
    <x v="7"/>
    <x v="0"/>
  </r>
  <r>
    <s v="ORD1251"/>
    <d v="2025-12-08T00:00:00"/>
    <s v="Rohit Gupta"/>
    <x v="3"/>
    <s v="Gujarat"/>
    <s v="Furniture"/>
    <s v="Table"/>
    <s v="Study Table"/>
    <n v="60590"/>
    <n v="6"/>
    <s v="5%"/>
    <n v="6353.08"/>
    <x v="7"/>
    <x v="0"/>
  </r>
  <r>
    <s v="ORD1252"/>
    <d v="2025-03-07T00:00:00"/>
    <s v="Priya Verma"/>
    <x v="1"/>
    <s v="Odisha"/>
    <s v="Office Supplies"/>
    <s v="Pen"/>
    <s v="Gel Pen Set"/>
    <n v="19399"/>
    <n v="3"/>
    <s v="15%"/>
    <n v="3629.31"/>
    <x v="6"/>
    <x v="0"/>
  </r>
  <r>
    <s v="ORD1253"/>
    <d v="2025-12-18T00:00:00"/>
    <s v="Neha Singh"/>
    <x v="0"/>
    <s v="Punjab"/>
    <s v="Furniture"/>
    <s v="Table"/>
    <s v="Study Table"/>
    <n v="41967"/>
    <n v="6"/>
    <s v="15%"/>
    <n v="10360.299999999999"/>
    <x v="7"/>
    <x v="0"/>
  </r>
  <r>
    <s v="ORD1254"/>
    <d v="2025-12-28T00:00:00"/>
    <s v="Rohit Gupta"/>
    <x v="3"/>
    <s v="Rajasthan"/>
    <s v="Furniture"/>
    <s v="Chair"/>
    <s v="Office Chair"/>
    <n v="73159"/>
    <n v="2"/>
    <s v="5%"/>
    <n v="15770.05"/>
    <x v="7"/>
    <x v="0"/>
  </r>
  <r>
    <s v="ORD1255"/>
    <d v="2025-05-18T00:00:00"/>
    <s v="Neha Singh"/>
    <x v="1"/>
    <s v="West Bengal"/>
    <s v="Office Supplies"/>
    <s v="Binder"/>
    <s v="A4 Binder"/>
    <n v="39098"/>
    <n v="7"/>
    <s v="0%"/>
    <n v="10664.55"/>
    <x v="3"/>
    <x v="0"/>
  </r>
  <r>
    <s v="ORD1256"/>
    <d v="2025-09-04T00:00:00"/>
    <s v="Karan Patel"/>
    <x v="2"/>
    <s v="Karnataka"/>
    <s v="Technology"/>
    <s v="Accessories"/>
    <s v="Wireless Mouse"/>
    <n v="54733"/>
    <n v="2"/>
    <s v="15%"/>
    <n v="10590.14"/>
    <x v="5"/>
    <x v="0"/>
  </r>
  <r>
    <s v="ORD1257"/>
    <d v="2025-10-22T00:00:00"/>
    <s v="Priya Verma"/>
    <x v="0"/>
    <s v="Delhi"/>
    <s v="Office Supplies"/>
    <s v="Binder"/>
    <s v="A4 Binder"/>
    <n v="1991"/>
    <n v="4"/>
    <s v="10%"/>
    <n v="395.02"/>
    <x v="10"/>
    <x v="0"/>
  </r>
  <r>
    <s v="ORD1258"/>
    <d v="2025-09-24T00:00:00"/>
    <s v="Sneha Joshi"/>
    <x v="2"/>
    <s v="Karnataka"/>
    <s v="Technology"/>
    <s v="Laptop"/>
    <s v="HP Pavilion"/>
    <n v="9971"/>
    <n v="3"/>
    <s v="5%"/>
    <n v="2662.62"/>
    <x v="5"/>
    <x v="0"/>
  </r>
  <r>
    <s v="ORD1259"/>
    <d v="2025-07-12T00:00:00"/>
    <s v="Simran Kaur"/>
    <x v="3"/>
    <s v="Rajasthan"/>
    <s v="Furniture"/>
    <s v="Bookcase"/>
    <s v="Wooden Bookcase"/>
    <n v="37711"/>
    <n v="2"/>
    <s v="15%"/>
    <n v="9699.7000000000007"/>
    <x v="4"/>
    <x v="0"/>
  </r>
  <r>
    <s v="ORD1260"/>
    <d v="2025-07-29T00:00:00"/>
    <s v="Priya Verma"/>
    <x v="1"/>
    <s v="West Bengal"/>
    <s v="Furniture"/>
    <s v="Bookcase"/>
    <s v="Wooden Bookcase"/>
    <n v="11657"/>
    <n v="10"/>
    <s v="5%"/>
    <n v="1314.64"/>
    <x v="4"/>
    <x v="0"/>
  </r>
  <r>
    <s v="ORD1261"/>
    <d v="2025-08-15T00:00:00"/>
    <s v="Simran Kaur"/>
    <x v="1"/>
    <s v="West Bengal"/>
    <s v="Office Supplies"/>
    <s v="Binder"/>
    <s v="A4 Binder"/>
    <n v="18997"/>
    <n v="8"/>
    <s v="0%"/>
    <n v="2436.65"/>
    <x v="2"/>
    <x v="0"/>
  </r>
  <r>
    <s v="ORD1262"/>
    <d v="2025-10-23T00:00:00"/>
    <s v="Amit Kumar"/>
    <x v="2"/>
    <s v="Karnataka"/>
    <s v="Office Supplies"/>
    <s v="Pen"/>
    <s v="Gel Pen Set"/>
    <n v="71807"/>
    <n v="8"/>
    <s v="5%"/>
    <n v="16692.8"/>
    <x v="10"/>
    <x v="0"/>
  </r>
  <r>
    <s v="ORD1263"/>
    <d v="2025-08-18T00:00:00"/>
    <s v="Arjun Rana"/>
    <x v="2"/>
    <s v="Karnataka"/>
    <s v="Office Supplies"/>
    <s v="Paper"/>
    <s v="A4 Paper Pack"/>
    <n v="48363"/>
    <n v="10"/>
    <s v="10%"/>
    <n v="11740.48"/>
    <x v="2"/>
    <x v="0"/>
  </r>
  <r>
    <s v="ORD1264"/>
    <d v="2025-05-30T00:00:00"/>
    <s v="Sneha Joshi"/>
    <x v="0"/>
    <s v="Haryana"/>
    <s v="Office Supplies"/>
    <s v="Paper"/>
    <s v="A4 Paper Pack"/>
    <n v="37905"/>
    <n v="9"/>
    <s v="0%"/>
    <n v="5254.61"/>
    <x v="3"/>
    <x v="0"/>
  </r>
  <r>
    <s v="ORD1265"/>
    <d v="2025-10-09T00:00:00"/>
    <s v="Priya Verma"/>
    <x v="0"/>
    <s v="Haryana"/>
    <s v="Technology"/>
    <s v="Laptop"/>
    <s v="HP Pavilion"/>
    <n v="38534"/>
    <n v="3"/>
    <s v="0%"/>
    <n v="9074.24"/>
    <x v="10"/>
    <x v="0"/>
  </r>
  <r>
    <s v="ORD1266"/>
    <d v="2025-03-13T00:00:00"/>
    <s v="Anjali Mehta"/>
    <x v="1"/>
    <s v="Odisha"/>
    <s v="Technology"/>
    <s v="Accessories"/>
    <s v="Wireless Mouse"/>
    <n v="4474"/>
    <n v="7"/>
    <s v="0%"/>
    <n v="609.74"/>
    <x v="6"/>
    <x v="0"/>
  </r>
  <r>
    <s v="ORD1267"/>
    <d v="2025-12-09T00:00:00"/>
    <s v="Sneha Joshi"/>
    <x v="2"/>
    <s v="Karnataka"/>
    <s v="Furniture"/>
    <s v="Table"/>
    <s v="Study Table"/>
    <n v="48872"/>
    <n v="10"/>
    <s v="15%"/>
    <n v="3825.78"/>
    <x v="7"/>
    <x v="0"/>
  </r>
  <r>
    <s v="ORD1268"/>
    <d v="2025-04-09T00:00:00"/>
    <s v="Rohit Gupta"/>
    <x v="3"/>
    <s v="Rajasthan"/>
    <s v="Office Supplies"/>
    <s v="Paper"/>
    <s v="A4 Paper Pack"/>
    <n v="31003"/>
    <n v="6"/>
    <s v="0%"/>
    <n v="4251.22"/>
    <x v="0"/>
    <x v="0"/>
  </r>
  <r>
    <s v="ORD1269"/>
    <d v="2025-07-08T00:00:00"/>
    <s v="Rohit Gupta"/>
    <x v="2"/>
    <s v="Kerala"/>
    <s v="Furniture"/>
    <s v="Chair"/>
    <s v="Office Chair"/>
    <n v="61191"/>
    <n v="10"/>
    <s v="20%"/>
    <n v="7061.67"/>
    <x v="4"/>
    <x v="0"/>
  </r>
  <r>
    <s v="ORD1270"/>
    <d v="2025-04-16T00:00:00"/>
    <s v="Arjun Rana"/>
    <x v="1"/>
    <s v="Odisha"/>
    <s v="Office Supplies"/>
    <s v="Pen"/>
    <s v="Gel Pen Set"/>
    <n v="55158"/>
    <n v="3"/>
    <s v="5%"/>
    <n v="10832.6"/>
    <x v="0"/>
    <x v="0"/>
  </r>
  <r>
    <s v="ORD1271"/>
    <d v="2025-12-30T00:00:00"/>
    <s v="Sneha Joshi"/>
    <x v="1"/>
    <s v="West Bengal"/>
    <s v="Technology"/>
    <s v="Mobile"/>
    <s v="Samsung Galaxy"/>
    <n v="2010"/>
    <n v="2"/>
    <s v="15%"/>
    <n v="487.76"/>
    <x v="7"/>
    <x v="0"/>
  </r>
  <r>
    <s v="ORD1272"/>
    <d v="2025-07-30T00:00:00"/>
    <s v="Sneha Joshi"/>
    <x v="3"/>
    <s v="Gujarat"/>
    <s v="Furniture"/>
    <s v="Bookcase"/>
    <s v="Wooden Bookcase"/>
    <n v="33677"/>
    <n v="5"/>
    <s v="5%"/>
    <n v="4246.97"/>
    <x v="4"/>
    <x v="0"/>
  </r>
  <r>
    <s v="ORD1273"/>
    <d v="2025-09-13T00:00:00"/>
    <s v="Amit Kumar"/>
    <x v="1"/>
    <s v="Bihar"/>
    <s v="Furniture"/>
    <s v="Chair"/>
    <s v="Office Chair"/>
    <n v="42340"/>
    <n v="4"/>
    <s v="20%"/>
    <n v="4274.75"/>
    <x v="5"/>
    <x v="0"/>
  </r>
  <r>
    <s v="ORD1274"/>
    <d v="2025-12-18T00:00:00"/>
    <s v="Rohit Gupta"/>
    <x v="2"/>
    <s v="Tamil Nadu"/>
    <s v="Office Supplies"/>
    <s v="Binder"/>
    <s v="A4 Binder"/>
    <n v="38873"/>
    <n v="1"/>
    <s v="5%"/>
    <n v="9707.02"/>
    <x v="7"/>
    <x v="0"/>
  </r>
  <r>
    <s v="ORD1275"/>
    <d v="2025-05-11T00:00:00"/>
    <s v="Amit Kumar"/>
    <x v="0"/>
    <s v="Punjab"/>
    <s v="Furniture"/>
    <s v="Chair"/>
    <s v="Office Chair"/>
    <n v="27158"/>
    <n v="5"/>
    <s v="15%"/>
    <n v="6764.26"/>
    <x v="3"/>
    <x v="0"/>
  </r>
  <r>
    <s v="ORD1276"/>
    <d v="2025-08-19T00:00:00"/>
    <s v="Neha Singh"/>
    <x v="2"/>
    <s v="Karnataka"/>
    <s v="Furniture"/>
    <s v="Table"/>
    <s v="Study Table"/>
    <n v="5095"/>
    <n v="7"/>
    <s v="10%"/>
    <n v="606.35"/>
    <x v="2"/>
    <x v="0"/>
  </r>
  <r>
    <s v="ORD1277"/>
    <d v="2025-04-11T00:00:00"/>
    <s v="Simran Kaur"/>
    <x v="0"/>
    <s v="Punjab"/>
    <s v="Technology"/>
    <s v="Mobile"/>
    <s v="Samsung Galaxy"/>
    <n v="26995"/>
    <n v="7"/>
    <s v="15%"/>
    <n v="4924"/>
    <x v="0"/>
    <x v="0"/>
  </r>
  <r>
    <s v="ORD1278"/>
    <d v="2025-01-11T00:00:00"/>
    <s v="Amit Kumar"/>
    <x v="1"/>
    <s v="West Bengal"/>
    <s v="Furniture"/>
    <s v="Table"/>
    <s v="Study Table"/>
    <n v="9653"/>
    <n v="5"/>
    <s v="15%"/>
    <n v="1104.1600000000001"/>
    <x v="8"/>
    <x v="0"/>
  </r>
  <r>
    <s v="ORD1279"/>
    <d v="2025-10-11T00:00:00"/>
    <s v="Rohit Gupta"/>
    <x v="1"/>
    <s v="Odisha"/>
    <s v="Office Supplies"/>
    <s v="Binder"/>
    <s v="A4 Binder"/>
    <n v="4344"/>
    <n v="5"/>
    <s v="15%"/>
    <n v="801.71"/>
    <x v="10"/>
    <x v="0"/>
  </r>
  <r>
    <s v="ORD1280"/>
    <d v="2025-10-24T00:00:00"/>
    <s v="Arjun Rana"/>
    <x v="3"/>
    <s v="Maharashtra"/>
    <s v="Furniture"/>
    <s v="Table"/>
    <s v="Study Table"/>
    <n v="20921"/>
    <n v="2"/>
    <s v="20%"/>
    <n v="3599.36"/>
    <x v="10"/>
    <x v="0"/>
  </r>
  <r>
    <s v="ORD1281"/>
    <d v="2025-03-22T00:00:00"/>
    <s v="Anjali Mehta"/>
    <x v="1"/>
    <s v="Odisha"/>
    <s v="Furniture"/>
    <s v="Table"/>
    <s v="Study Table"/>
    <n v="53780"/>
    <n v="8"/>
    <s v="20%"/>
    <n v="4422.99"/>
    <x v="6"/>
    <x v="0"/>
  </r>
  <r>
    <s v="ORD1282"/>
    <d v="2025-04-08T00:00:00"/>
    <s v="Arjun Rana"/>
    <x v="0"/>
    <s v="Punjab"/>
    <s v="Furniture"/>
    <s v="Chair"/>
    <s v="Office Chair"/>
    <n v="27533"/>
    <n v="1"/>
    <s v="20%"/>
    <n v="3115.96"/>
    <x v="0"/>
    <x v="0"/>
  </r>
  <r>
    <s v="ORD1283"/>
    <d v="2025-07-30T00:00:00"/>
    <s v="Neha Singh"/>
    <x v="2"/>
    <s v="Tamil Nadu"/>
    <s v="Office Supplies"/>
    <s v="Paper"/>
    <s v="A4 Paper Pack"/>
    <n v="66886"/>
    <n v="7"/>
    <s v="20%"/>
    <n v="7070.38"/>
    <x v="4"/>
    <x v="0"/>
  </r>
  <r>
    <s v="ORD1284"/>
    <d v="2025-10-25T00:00:00"/>
    <s v="Arjun Rana"/>
    <x v="3"/>
    <s v="Rajasthan"/>
    <s v="Furniture"/>
    <s v="Table"/>
    <s v="Study Table"/>
    <n v="72797"/>
    <n v="8"/>
    <s v="0%"/>
    <n v="18255.36"/>
    <x v="10"/>
    <x v="0"/>
  </r>
  <r>
    <s v="ORD1285"/>
    <d v="2025-04-26T00:00:00"/>
    <s v="Rohit Gupta"/>
    <x v="1"/>
    <s v="West Bengal"/>
    <s v="Furniture"/>
    <s v="Table"/>
    <s v="Study Table"/>
    <n v="15018"/>
    <n v="8"/>
    <s v="15%"/>
    <n v="3123.07"/>
    <x v="0"/>
    <x v="0"/>
  </r>
  <r>
    <s v="ORD1286"/>
    <d v="2025-02-02T00:00:00"/>
    <s v="Priya Verma"/>
    <x v="1"/>
    <s v="Bihar"/>
    <s v="Office Supplies"/>
    <s v="Pen"/>
    <s v="Gel Pen Set"/>
    <n v="53085"/>
    <n v="8"/>
    <s v="0%"/>
    <n v="14183.61"/>
    <x v="11"/>
    <x v="0"/>
  </r>
  <r>
    <s v="ORD1287"/>
    <d v="2025-05-03T00:00:00"/>
    <s v="Karan Patel"/>
    <x v="0"/>
    <s v="Haryana"/>
    <s v="Office Supplies"/>
    <s v="Pen"/>
    <s v="Gel Pen Set"/>
    <n v="58494"/>
    <n v="7"/>
    <s v="20%"/>
    <n v="13907.91"/>
    <x v="3"/>
    <x v="0"/>
  </r>
  <r>
    <s v="ORD1288"/>
    <d v="2025-10-07T00:00:00"/>
    <s v="Neha Singh"/>
    <x v="3"/>
    <s v="Maharashtra"/>
    <s v="Furniture"/>
    <s v="Bookcase"/>
    <s v="Wooden Bookcase"/>
    <n v="1329"/>
    <n v="2"/>
    <s v="0%"/>
    <n v="231.68"/>
    <x v="10"/>
    <x v="0"/>
  </r>
  <r>
    <s v="ORD1289"/>
    <d v="2025-10-12T00:00:00"/>
    <s v="Rohit Gupta"/>
    <x v="2"/>
    <s v="Tamil Nadu"/>
    <s v="Office Supplies"/>
    <s v="Paper"/>
    <s v="A4 Paper Pack"/>
    <n v="52339"/>
    <n v="5"/>
    <s v="10%"/>
    <n v="4603.37"/>
    <x v="10"/>
    <x v="0"/>
  </r>
  <r>
    <s v="ORD1290"/>
    <d v="2025-05-09T00:00:00"/>
    <s v="Neha Singh"/>
    <x v="0"/>
    <s v="Punjab"/>
    <s v="Furniture"/>
    <s v="Chair"/>
    <s v="Office Chair"/>
    <n v="36231"/>
    <n v="3"/>
    <s v="20%"/>
    <n v="7303.6"/>
    <x v="3"/>
    <x v="0"/>
  </r>
  <r>
    <s v="ORD1291"/>
    <d v="2025-12-24T00:00:00"/>
    <s v="Rahul Sharma"/>
    <x v="2"/>
    <s v="Tamil Nadu"/>
    <s v="Furniture"/>
    <s v="Chair"/>
    <s v="Office Chair"/>
    <n v="72117"/>
    <n v="4"/>
    <s v="5%"/>
    <n v="9506.93"/>
    <x v="7"/>
    <x v="0"/>
  </r>
  <r>
    <s v="ORD1292"/>
    <d v="2025-06-09T00:00:00"/>
    <s v="Anjali Mehta"/>
    <x v="0"/>
    <s v="Punjab"/>
    <s v="Furniture"/>
    <s v="Bookcase"/>
    <s v="Wooden Bookcase"/>
    <n v="53605"/>
    <n v="7"/>
    <s v="5%"/>
    <n v="7013.7"/>
    <x v="9"/>
    <x v="0"/>
  </r>
  <r>
    <s v="ORD1293"/>
    <d v="2025-10-23T00:00:00"/>
    <s v="Rohit Gupta"/>
    <x v="1"/>
    <s v="West Bengal"/>
    <s v="Technology"/>
    <s v="Accessories"/>
    <s v="Wireless Mouse"/>
    <n v="25708"/>
    <n v="4"/>
    <s v="10%"/>
    <n v="6283.03"/>
    <x v="10"/>
    <x v="0"/>
  </r>
  <r>
    <s v="ORD1294"/>
    <d v="2025-08-17T00:00:00"/>
    <s v="Arjun Rana"/>
    <x v="2"/>
    <s v="Tamil Nadu"/>
    <s v="Furniture"/>
    <s v="Bookcase"/>
    <s v="Wooden Bookcase"/>
    <n v="67937"/>
    <n v="6"/>
    <s v="20%"/>
    <n v="10285.540000000001"/>
    <x v="2"/>
    <x v="0"/>
  </r>
  <r>
    <s v="ORD1295"/>
    <d v="2025-11-16T00:00:00"/>
    <s v="Neha Singh"/>
    <x v="0"/>
    <s v="Delhi"/>
    <s v="Furniture"/>
    <s v="Table"/>
    <s v="Study Table"/>
    <n v="65367"/>
    <n v="7"/>
    <s v="15%"/>
    <n v="15667.81"/>
    <x v="1"/>
    <x v="0"/>
  </r>
  <r>
    <s v="ORD1296"/>
    <d v="2025-03-07T00:00:00"/>
    <s v="Simran Kaur"/>
    <x v="1"/>
    <s v="West Bengal"/>
    <s v="Technology"/>
    <s v="Laptop"/>
    <s v="HP Pavilion"/>
    <n v="78406"/>
    <n v="7"/>
    <s v="10%"/>
    <n v="14053.4"/>
    <x v="6"/>
    <x v="0"/>
  </r>
  <r>
    <s v="ORD1297"/>
    <d v="2025-09-21T00:00:00"/>
    <s v="Arjun Rana"/>
    <x v="3"/>
    <s v="Rajasthan"/>
    <s v="Technology"/>
    <s v="Accessories"/>
    <s v="Wireless Mouse"/>
    <n v="47680"/>
    <n v="6"/>
    <s v="15%"/>
    <n v="10636.12"/>
    <x v="5"/>
    <x v="0"/>
  </r>
  <r>
    <s v="ORD1298"/>
    <d v="2025-11-24T00:00:00"/>
    <s v="Priya Verma"/>
    <x v="3"/>
    <s v="Rajasthan"/>
    <s v="Furniture"/>
    <s v="Bookcase"/>
    <s v="Wooden Bookcase"/>
    <n v="3766"/>
    <n v="1"/>
    <s v="20%"/>
    <n v="642.41999999999996"/>
    <x v="1"/>
    <x v="0"/>
  </r>
  <r>
    <s v="ORD1299"/>
    <d v="2025-10-14T00:00:00"/>
    <s v="Priya Verma"/>
    <x v="0"/>
    <s v="Haryana"/>
    <s v="Furniture"/>
    <s v="Bookcase"/>
    <s v="Wooden Bookcase"/>
    <n v="26719"/>
    <n v="2"/>
    <s v="15%"/>
    <n v="3718.14"/>
    <x v="10"/>
    <x v="0"/>
  </r>
  <r>
    <s v="ORD1300"/>
    <d v="2025-12-24T00:00:00"/>
    <s v="Arjun Rana"/>
    <x v="2"/>
    <s v="Tamil Nadu"/>
    <s v="Technology"/>
    <s v="Mobile"/>
    <s v="Samsung Galaxy"/>
    <n v="1808"/>
    <n v="10"/>
    <s v="0%"/>
    <n v="458.93"/>
    <x v="7"/>
    <x v="0"/>
  </r>
  <r>
    <s v="ORD1301"/>
    <d v="2025-12-03T00:00:00"/>
    <s v="Rohit Gupta"/>
    <x v="0"/>
    <s v="Delhi"/>
    <s v="Technology"/>
    <s v="Accessories"/>
    <s v="Wireless Mouse"/>
    <n v="46979"/>
    <n v="10"/>
    <s v="20%"/>
    <n v="11836.18"/>
    <x v="7"/>
    <x v="0"/>
  </r>
  <r>
    <s v="ORD1302"/>
    <d v="2025-09-17T00:00:00"/>
    <s v="Rohit Gupta"/>
    <x v="0"/>
    <s v="Haryana"/>
    <s v="Furniture"/>
    <s v="Chair"/>
    <s v="Office Chair"/>
    <n v="66579"/>
    <n v="4"/>
    <s v="0%"/>
    <n v="14424.65"/>
    <x v="5"/>
    <x v="0"/>
  </r>
  <r>
    <s v="ORD1303"/>
    <d v="2025-11-21T00:00:00"/>
    <s v="Arjun Rana"/>
    <x v="2"/>
    <s v="Karnataka"/>
    <s v="Furniture"/>
    <s v="Chair"/>
    <s v="Office Chair"/>
    <n v="44559"/>
    <n v="2"/>
    <s v="20%"/>
    <n v="9650.4500000000007"/>
    <x v="1"/>
    <x v="0"/>
  </r>
  <r>
    <s v="ORD1304"/>
    <d v="2025-07-22T00:00:00"/>
    <s v="Sneha Joshi"/>
    <x v="1"/>
    <s v="West Bengal"/>
    <s v="Technology"/>
    <s v="Laptop"/>
    <s v="HP Pavilion"/>
    <n v="57875"/>
    <n v="6"/>
    <s v="20%"/>
    <n v="8926.66"/>
    <x v="4"/>
    <x v="0"/>
  </r>
  <r>
    <s v="ORD1305"/>
    <d v="2025-10-15T00:00:00"/>
    <s v="Neha Singh"/>
    <x v="3"/>
    <s v="Rajasthan"/>
    <s v="Office Supplies"/>
    <s v="Paper"/>
    <s v="A4 Paper Pack"/>
    <n v="52336"/>
    <n v="10"/>
    <s v="0%"/>
    <n v="11338.67"/>
    <x v="10"/>
    <x v="0"/>
  </r>
  <r>
    <s v="ORD1306"/>
    <d v="2025-11-12T00:00:00"/>
    <s v="Amit Kumar"/>
    <x v="1"/>
    <s v="Odisha"/>
    <s v="Furniture"/>
    <s v="Table"/>
    <s v="Study Table"/>
    <n v="56792"/>
    <n v="10"/>
    <s v="20%"/>
    <n v="8633.0300000000007"/>
    <x v="1"/>
    <x v="0"/>
  </r>
  <r>
    <s v="ORD1307"/>
    <d v="2025-03-07T00:00:00"/>
    <s v="Rohit Gupta"/>
    <x v="1"/>
    <s v="Bihar"/>
    <s v="Office Supplies"/>
    <s v="Binder"/>
    <s v="A4 Binder"/>
    <n v="20380"/>
    <n v="9"/>
    <s v="15%"/>
    <n v="4092.07"/>
    <x v="6"/>
    <x v="0"/>
  </r>
  <r>
    <s v="ORD1308"/>
    <d v="2025-05-06T00:00:00"/>
    <s v="Sneha Joshi"/>
    <x v="0"/>
    <s v="Delhi"/>
    <s v="Technology"/>
    <s v="Mobile"/>
    <s v="Samsung Galaxy"/>
    <n v="1484"/>
    <n v="2"/>
    <s v="15%"/>
    <n v="140.34"/>
    <x v="3"/>
    <x v="0"/>
  </r>
  <r>
    <s v="ORD1309"/>
    <d v="2025-06-08T00:00:00"/>
    <s v="Karan Patel"/>
    <x v="3"/>
    <s v="Rajasthan"/>
    <s v="Technology"/>
    <s v="Laptop"/>
    <s v="HP Pavilion"/>
    <n v="72895"/>
    <n v="5"/>
    <s v="15%"/>
    <n v="6601.62"/>
    <x v="9"/>
    <x v="0"/>
  </r>
  <r>
    <s v="ORD1310"/>
    <d v="2025-07-17T00:00:00"/>
    <s v="Rahul Sharma"/>
    <x v="3"/>
    <s v="Rajasthan"/>
    <s v="Technology"/>
    <s v="Mobile"/>
    <s v="Samsung Galaxy"/>
    <n v="35456"/>
    <n v="1"/>
    <s v="0%"/>
    <n v="9762.77"/>
    <x v="4"/>
    <x v="0"/>
  </r>
  <r>
    <s v="ORD1311"/>
    <d v="2025-02-20T00:00:00"/>
    <s v="Simran Kaur"/>
    <x v="2"/>
    <s v="Kerala"/>
    <s v="Office Supplies"/>
    <s v="Binder"/>
    <s v="A4 Binder"/>
    <n v="6617"/>
    <n v="3"/>
    <s v="0%"/>
    <n v="1300.26"/>
    <x v="11"/>
    <x v="0"/>
  </r>
  <r>
    <s v="ORD1312"/>
    <d v="2025-07-14T00:00:00"/>
    <s v="Karan Patel"/>
    <x v="0"/>
    <s v="Delhi"/>
    <s v="Furniture"/>
    <s v="Bookcase"/>
    <s v="Wooden Bookcase"/>
    <n v="29629"/>
    <n v="9"/>
    <s v="0%"/>
    <n v="7017.94"/>
    <x v="4"/>
    <x v="0"/>
  </r>
  <r>
    <s v="ORD1313"/>
    <d v="2025-11-19T00:00:00"/>
    <s v="Arjun Rana"/>
    <x v="1"/>
    <s v="West Bengal"/>
    <s v="Furniture"/>
    <s v="Chair"/>
    <s v="Office Chair"/>
    <n v="5550"/>
    <n v="1"/>
    <s v="0%"/>
    <n v="1156.26"/>
    <x v="1"/>
    <x v="0"/>
  </r>
  <r>
    <s v="ORD1314"/>
    <d v="2025-10-26T00:00:00"/>
    <s v="Priya Verma"/>
    <x v="0"/>
    <s v="Haryana"/>
    <s v="Technology"/>
    <s v="Mobile"/>
    <s v="Samsung Galaxy"/>
    <n v="12218"/>
    <n v="3"/>
    <s v="20%"/>
    <n v="2788.91"/>
    <x v="10"/>
    <x v="0"/>
  </r>
  <r>
    <s v="ORD1315"/>
    <d v="2025-04-24T00:00:00"/>
    <s v="Priya Verma"/>
    <x v="0"/>
    <s v="Haryana"/>
    <s v="Furniture"/>
    <s v="Bookcase"/>
    <s v="Wooden Bookcase"/>
    <n v="18972"/>
    <n v="5"/>
    <s v="15%"/>
    <n v="2406.0500000000002"/>
    <x v="0"/>
    <x v="0"/>
  </r>
  <r>
    <s v="ORD1316"/>
    <d v="2025-07-03T00:00:00"/>
    <s v="Arjun Rana"/>
    <x v="3"/>
    <s v="Maharashtra"/>
    <s v="Furniture"/>
    <s v="Table"/>
    <s v="Study Table"/>
    <n v="58774"/>
    <n v="10"/>
    <s v="10%"/>
    <n v="8859.11"/>
    <x v="4"/>
    <x v="0"/>
  </r>
  <r>
    <s v="ORD1317"/>
    <d v="2025-08-25T00:00:00"/>
    <s v="Sneha Joshi"/>
    <x v="0"/>
    <s v="Punjab"/>
    <s v="Furniture"/>
    <s v="Bookcase"/>
    <s v="Wooden Bookcase"/>
    <n v="18861"/>
    <n v="8"/>
    <s v="20%"/>
    <n v="3436.6"/>
    <x v="2"/>
    <x v="0"/>
  </r>
  <r>
    <s v="ORD1318"/>
    <d v="2025-10-29T00:00:00"/>
    <s v="Simran Kaur"/>
    <x v="0"/>
    <s v="Haryana"/>
    <s v="Furniture"/>
    <s v="Table"/>
    <s v="Study Table"/>
    <n v="39950"/>
    <n v="5"/>
    <s v="10%"/>
    <n v="7298.18"/>
    <x v="10"/>
    <x v="0"/>
  </r>
  <r>
    <s v="ORD1319"/>
    <d v="2025-09-24T00:00:00"/>
    <s v="Arjun Rana"/>
    <x v="1"/>
    <s v="West Bengal"/>
    <s v="Furniture"/>
    <s v="Chair"/>
    <s v="Office Chair"/>
    <n v="71309"/>
    <n v="8"/>
    <s v="20%"/>
    <n v="18402.75"/>
    <x v="5"/>
    <x v="0"/>
  </r>
  <r>
    <s v="ORD1320"/>
    <d v="2025-06-30T00:00:00"/>
    <s v="Karan Patel"/>
    <x v="3"/>
    <s v="Rajasthan"/>
    <s v="Furniture"/>
    <s v="Bookcase"/>
    <s v="Wooden Bookcase"/>
    <n v="60287"/>
    <n v="9"/>
    <s v="5%"/>
    <n v="6004.13"/>
    <x v="9"/>
    <x v="0"/>
  </r>
  <r>
    <s v="ORD1321"/>
    <d v="2025-09-18T00:00:00"/>
    <s v="Karan Patel"/>
    <x v="2"/>
    <s v="Karnataka"/>
    <s v="Furniture"/>
    <s v="Table"/>
    <s v="Study Table"/>
    <n v="66733"/>
    <n v="2"/>
    <s v="0%"/>
    <n v="14703.47"/>
    <x v="5"/>
    <x v="0"/>
  </r>
  <r>
    <s v="ORD1322"/>
    <d v="2025-06-22T00:00:00"/>
    <s v="Rohit Gupta"/>
    <x v="3"/>
    <s v="Maharashtra"/>
    <s v="Technology"/>
    <s v="Mobile"/>
    <s v="Samsung Galaxy"/>
    <n v="60129"/>
    <n v="1"/>
    <s v="0%"/>
    <n v="11891.98"/>
    <x v="9"/>
    <x v="0"/>
  </r>
  <r>
    <s v="ORD1323"/>
    <d v="2025-09-25T00:00:00"/>
    <s v="Rahul Sharma"/>
    <x v="0"/>
    <s v="Haryana"/>
    <s v="Furniture"/>
    <s v="Bookcase"/>
    <s v="Wooden Bookcase"/>
    <n v="14485"/>
    <n v="6"/>
    <s v="10%"/>
    <n v="3318.27"/>
    <x v="5"/>
    <x v="0"/>
  </r>
  <r>
    <s v="ORD1324"/>
    <d v="2025-04-01T00:00:00"/>
    <s v="Neha Singh"/>
    <x v="1"/>
    <s v="West Bengal"/>
    <s v="Furniture"/>
    <s v="Bookcase"/>
    <s v="Wooden Bookcase"/>
    <n v="19018"/>
    <n v="7"/>
    <s v="0%"/>
    <n v="2029.79"/>
    <x v="0"/>
    <x v="0"/>
  </r>
  <r>
    <s v="ORD1325"/>
    <d v="2025-01-05T00:00:00"/>
    <s v="Neha Singh"/>
    <x v="1"/>
    <s v="West Bengal"/>
    <s v="Office Supplies"/>
    <s v="Paper"/>
    <s v="A4 Paper Pack"/>
    <n v="62972"/>
    <n v="1"/>
    <s v="5%"/>
    <n v="12641.89"/>
    <x v="8"/>
    <x v="0"/>
  </r>
  <r>
    <s v="ORD1326"/>
    <d v="2025-10-28T00:00:00"/>
    <s v="Amit Kumar"/>
    <x v="2"/>
    <s v="Karnataka"/>
    <s v="Technology"/>
    <s v="Accessories"/>
    <s v="Wireless Mouse"/>
    <n v="69905"/>
    <n v="10"/>
    <s v="15%"/>
    <n v="13482.22"/>
    <x v="10"/>
    <x v="0"/>
  </r>
  <r>
    <s v="ORD1327"/>
    <d v="2025-09-08T00:00:00"/>
    <s v="Arjun Rana"/>
    <x v="0"/>
    <s v="Delhi"/>
    <s v="Furniture"/>
    <s v="Bookcase"/>
    <s v="Wooden Bookcase"/>
    <n v="65797"/>
    <n v="4"/>
    <s v="15%"/>
    <n v="6259.17"/>
    <x v="5"/>
    <x v="0"/>
  </r>
  <r>
    <s v="ORD1328"/>
    <d v="2025-08-23T00:00:00"/>
    <s v="Amit Kumar"/>
    <x v="2"/>
    <s v="Tamil Nadu"/>
    <s v="Office Supplies"/>
    <s v="Binder"/>
    <s v="A4 Binder"/>
    <n v="52419"/>
    <n v="6"/>
    <s v="10%"/>
    <n v="5805.02"/>
    <x v="2"/>
    <x v="0"/>
  </r>
  <r>
    <s v="ORD1329"/>
    <d v="2025-10-10T00:00:00"/>
    <s v="Neha Singh"/>
    <x v="2"/>
    <s v="Kerala"/>
    <s v="Furniture"/>
    <s v="Chair"/>
    <s v="Office Chair"/>
    <n v="17059"/>
    <n v="7"/>
    <s v="15%"/>
    <n v="2073.4699999999998"/>
    <x v="10"/>
    <x v="0"/>
  </r>
  <r>
    <s v="ORD1330"/>
    <d v="2025-01-23T00:00:00"/>
    <s v="Amit Kumar"/>
    <x v="2"/>
    <s v="Tamil Nadu"/>
    <s v="Furniture"/>
    <s v="Bookcase"/>
    <s v="Wooden Bookcase"/>
    <n v="36373"/>
    <n v="6"/>
    <s v="10%"/>
    <n v="5328.88"/>
    <x v="8"/>
    <x v="0"/>
  </r>
  <r>
    <s v="ORD1331"/>
    <d v="2025-08-23T00:00:00"/>
    <s v="Sneha Joshi"/>
    <x v="3"/>
    <s v="Gujarat"/>
    <s v="Furniture"/>
    <s v="Bookcase"/>
    <s v="Wooden Bookcase"/>
    <n v="75216"/>
    <n v="9"/>
    <s v="10%"/>
    <n v="10143.31"/>
    <x v="2"/>
    <x v="0"/>
  </r>
  <r>
    <s v="ORD1332"/>
    <d v="2025-09-29T00:00:00"/>
    <s v="Arjun Rana"/>
    <x v="3"/>
    <s v="Rajasthan"/>
    <s v="Office Supplies"/>
    <s v="Binder"/>
    <s v="A4 Binder"/>
    <n v="8670"/>
    <n v="2"/>
    <s v="0%"/>
    <n v="1202.78"/>
    <x v="5"/>
    <x v="0"/>
  </r>
  <r>
    <s v="ORD1333"/>
    <d v="2025-12-11T00:00:00"/>
    <s v="Priya Verma"/>
    <x v="1"/>
    <s v="West Bengal"/>
    <s v="Office Supplies"/>
    <s v="Pen"/>
    <s v="Gel Pen Set"/>
    <n v="43387"/>
    <n v="3"/>
    <s v="15%"/>
    <n v="11164.93"/>
    <x v="7"/>
    <x v="0"/>
  </r>
  <r>
    <s v="ORD1334"/>
    <d v="2025-11-17T00:00:00"/>
    <s v="Amit Kumar"/>
    <x v="3"/>
    <s v="Rajasthan"/>
    <s v="Furniture"/>
    <s v="Bookcase"/>
    <s v="Wooden Bookcase"/>
    <n v="14847"/>
    <n v="1"/>
    <s v="0%"/>
    <n v="2596.33"/>
    <x v="1"/>
    <x v="0"/>
  </r>
  <r>
    <s v="ORD1335"/>
    <d v="2025-09-10T00:00:00"/>
    <s v="Priya Verma"/>
    <x v="2"/>
    <s v="Tamil Nadu"/>
    <s v="Office Supplies"/>
    <s v="Pen"/>
    <s v="Gel Pen Set"/>
    <n v="29356"/>
    <n v="6"/>
    <s v="15%"/>
    <n v="2587.69"/>
    <x v="5"/>
    <x v="0"/>
  </r>
  <r>
    <s v="ORD1336"/>
    <d v="2025-08-29T00:00:00"/>
    <s v="Neha Singh"/>
    <x v="0"/>
    <s v="Punjab"/>
    <s v="Office Supplies"/>
    <s v="Pen"/>
    <s v="Gel Pen Set"/>
    <n v="59649"/>
    <n v="3"/>
    <s v="5%"/>
    <n v="8654.6299999999992"/>
    <x v="2"/>
    <x v="0"/>
  </r>
  <r>
    <s v="ORD1337"/>
    <d v="2025-06-04T00:00:00"/>
    <s v="Rohit Gupta"/>
    <x v="2"/>
    <s v="Tamil Nadu"/>
    <s v="Furniture"/>
    <s v="Table"/>
    <s v="Study Table"/>
    <n v="45170"/>
    <n v="3"/>
    <s v="15%"/>
    <n v="6546.02"/>
    <x v="9"/>
    <x v="0"/>
  </r>
  <r>
    <s v="ORD1338"/>
    <d v="2025-08-02T00:00:00"/>
    <s v="Simran Kaur"/>
    <x v="2"/>
    <s v="Karnataka"/>
    <s v="Office Supplies"/>
    <s v="Pen"/>
    <s v="Gel Pen Set"/>
    <n v="44949"/>
    <n v="2"/>
    <s v="5%"/>
    <n v="8918.7099999999991"/>
    <x v="2"/>
    <x v="0"/>
  </r>
  <r>
    <s v="ORD1339"/>
    <d v="2025-08-04T00:00:00"/>
    <s v="Priya Verma"/>
    <x v="1"/>
    <s v="Odisha"/>
    <s v="Technology"/>
    <s v="Laptop"/>
    <s v="HP Pavilion"/>
    <n v="78791"/>
    <n v="8"/>
    <s v="5%"/>
    <n v="16085.13"/>
    <x v="2"/>
    <x v="0"/>
  </r>
  <r>
    <s v="ORD1340"/>
    <d v="2025-07-14T00:00:00"/>
    <s v="Simran Kaur"/>
    <x v="2"/>
    <s v="Kerala"/>
    <s v="Furniture"/>
    <s v="Chair"/>
    <s v="Office Chair"/>
    <n v="5082"/>
    <n v="2"/>
    <s v="20%"/>
    <n v="1215.1300000000001"/>
    <x v="4"/>
    <x v="0"/>
  </r>
  <r>
    <s v="ORD1341"/>
    <d v="2025-08-10T00:00:00"/>
    <s v="Rohit Gupta"/>
    <x v="0"/>
    <s v="Punjab"/>
    <s v="Office Supplies"/>
    <s v="Pen"/>
    <s v="Gel Pen Set"/>
    <n v="12931"/>
    <n v="10"/>
    <s v="15%"/>
    <n v="1056.07"/>
    <x v="2"/>
    <x v="0"/>
  </r>
  <r>
    <s v="ORD1342"/>
    <d v="2025-02-15T00:00:00"/>
    <s v="Simran Kaur"/>
    <x v="2"/>
    <s v="Tamil Nadu"/>
    <s v="Furniture"/>
    <s v="Chair"/>
    <s v="Office Chair"/>
    <n v="68113"/>
    <n v="10"/>
    <s v="20%"/>
    <n v="12275.15"/>
    <x v="11"/>
    <x v="0"/>
  </r>
  <r>
    <s v="ORD1343"/>
    <d v="2025-01-13T00:00:00"/>
    <s v="Rohit Gupta"/>
    <x v="2"/>
    <s v="Tamil Nadu"/>
    <s v="Office Supplies"/>
    <s v="Pen"/>
    <s v="Gel Pen Set"/>
    <n v="22254"/>
    <n v="9"/>
    <s v="5%"/>
    <n v="2569.37"/>
    <x v="8"/>
    <x v="0"/>
  </r>
  <r>
    <s v="ORD1344"/>
    <d v="2025-08-21T00:00:00"/>
    <s v="Karan Patel"/>
    <x v="3"/>
    <s v="Gujarat"/>
    <s v="Office Supplies"/>
    <s v="Pen"/>
    <s v="Gel Pen Set"/>
    <n v="29697"/>
    <n v="9"/>
    <s v="20%"/>
    <n v="2156.38"/>
    <x v="2"/>
    <x v="0"/>
  </r>
  <r>
    <s v="ORD1345"/>
    <d v="2025-03-24T00:00:00"/>
    <s v="Priya Verma"/>
    <x v="1"/>
    <s v="West Bengal"/>
    <s v="Technology"/>
    <s v="Mobile"/>
    <s v="Samsung Galaxy"/>
    <n v="73329"/>
    <n v="3"/>
    <s v="5%"/>
    <n v="15786.5"/>
    <x v="6"/>
    <x v="0"/>
  </r>
  <r>
    <s v="ORD1346"/>
    <d v="2025-07-23T00:00:00"/>
    <s v="Neha Singh"/>
    <x v="2"/>
    <s v="Karnataka"/>
    <s v="Office Supplies"/>
    <s v="Pen"/>
    <s v="Gel Pen Set"/>
    <n v="61233"/>
    <n v="9"/>
    <s v="20%"/>
    <n v="9858.48"/>
    <x v="4"/>
    <x v="0"/>
  </r>
  <r>
    <s v="ORD1347"/>
    <d v="2025-09-06T00:00:00"/>
    <s v="Karan Patel"/>
    <x v="3"/>
    <s v="Rajasthan"/>
    <s v="Technology"/>
    <s v="Laptop"/>
    <s v="HP Pavilion"/>
    <n v="60656"/>
    <n v="6"/>
    <s v="20%"/>
    <n v="5379.9"/>
    <x v="5"/>
    <x v="0"/>
  </r>
  <r>
    <s v="ORD1348"/>
    <d v="2025-02-06T00:00:00"/>
    <s v="Arjun Rana"/>
    <x v="2"/>
    <s v="Karnataka"/>
    <s v="Office Supplies"/>
    <s v="Binder"/>
    <s v="A4 Binder"/>
    <n v="40156"/>
    <n v="6"/>
    <s v="15%"/>
    <n v="5337.39"/>
    <x v="11"/>
    <x v="0"/>
  </r>
  <r>
    <s v="ORD1349"/>
    <d v="2025-07-27T00:00:00"/>
    <s v="Rohit Gupta"/>
    <x v="1"/>
    <s v="Bihar"/>
    <s v="Technology"/>
    <s v="Mobile"/>
    <s v="Samsung Galaxy"/>
    <n v="74936"/>
    <n v="7"/>
    <s v="20%"/>
    <n v="8370.57"/>
    <x v="4"/>
    <x v="0"/>
  </r>
  <r>
    <s v="ORD1350"/>
    <d v="2025-10-03T00:00:00"/>
    <s v="Amit Kumar"/>
    <x v="2"/>
    <s v="Karnataka"/>
    <s v="Office Supplies"/>
    <s v="Pen"/>
    <s v="Gel Pen Set"/>
    <n v="71551"/>
    <n v="4"/>
    <s v="10%"/>
    <n v="18077.09"/>
    <x v="10"/>
    <x v="0"/>
  </r>
  <r>
    <s v="ORD1351"/>
    <d v="2025-02-21T00:00:00"/>
    <s v="Neha Singh"/>
    <x v="2"/>
    <s v="Kerala"/>
    <s v="Furniture"/>
    <s v="Chair"/>
    <s v="Office Chair"/>
    <n v="4558"/>
    <n v="1"/>
    <s v="0%"/>
    <n v="1216.48"/>
    <x v="11"/>
    <x v="0"/>
  </r>
  <r>
    <s v="ORD1352"/>
    <d v="2025-12-05T00:00:00"/>
    <s v="Neha Singh"/>
    <x v="0"/>
    <s v="Punjab"/>
    <s v="Office Supplies"/>
    <s v="Binder"/>
    <s v="A4 Binder"/>
    <n v="61021"/>
    <n v="2"/>
    <s v="5%"/>
    <n v="15209.7"/>
    <x v="7"/>
    <x v="0"/>
  </r>
  <r>
    <s v="ORD1353"/>
    <d v="2025-02-08T00:00:00"/>
    <s v="Arjun Rana"/>
    <x v="1"/>
    <s v="Odisha"/>
    <s v="Technology"/>
    <s v="Mobile"/>
    <s v="Samsung Galaxy"/>
    <n v="18514"/>
    <n v="1"/>
    <s v="10%"/>
    <n v="2760.5"/>
    <x v="11"/>
    <x v="0"/>
  </r>
  <r>
    <s v="ORD1354"/>
    <d v="2025-08-11T00:00:00"/>
    <s v="Sneha Joshi"/>
    <x v="3"/>
    <s v="Rajasthan"/>
    <s v="Furniture"/>
    <s v="Table"/>
    <s v="Study Table"/>
    <n v="6584"/>
    <n v="7"/>
    <s v="5%"/>
    <n v="1234.71"/>
    <x v="2"/>
    <x v="0"/>
  </r>
  <r>
    <s v="ORD1355"/>
    <d v="2025-12-22T00:00:00"/>
    <s v="Simran Kaur"/>
    <x v="0"/>
    <s v="Haryana"/>
    <s v="Office Supplies"/>
    <s v="Binder"/>
    <s v="A4 Binder"/>
    <n v="22510"/>
    <n v="4"/>
    <s v="10%"/>
    <n v="5512.95"/>
    <x v="7"/>
    <x v="0"/>
  </r>
  <r>
    <s v="ORD1356"/>
    <d v="2025-10-19T00:00:00"/>
    <s v="Karan Patel"/>
    <x v="3"/>
    <s v="Maharashtra"/>
    <s v="Technology"/>
    <s v="Laptop"/>
    <s v="HP Pavilion"/>
    <n v="22330"/>
    <n v="2"/>
    <s v="10%"/>
    <n v="1592.56"/>
    <x v="10"/>
    <x v="0"/>
  </r>
  <r>
    <s v="ORD1357"/>
    <d v="2025-07-19T00:00:00"/>
    <s v="Priya Verma"/>
    <x v="1"/>
    <s v="Bihar"/>
    <s v="Furniture"/>
    <s v="Table"/>
    <s v="Study Table"/>
    <n v="3691"/>
    <n v="4"/>
    <s v="15%"/>
    <n v="789.02"/>
    <x v="4"/>
    <x v="0"/>
  </r>
  <r>
    <s v="ORD1358"/>
    <d v="2025-12-08T00:00:00"/>
    <s v="Karan Patel"/>
    <x v="2"/>
    <s v="Tamil Nadu"/>
    <s v="Technology"/>
    <s v="Accessories"/>
    <s v="Wireless Mouse"/>
    <n v="72996"/>
    <n v="5"/>
    <s v="15%"/>
    <n v="18409.669999999998"/>
    <x v="7"/>
    <x v="0"/>
  </r>
  <r>
    <s v="ORD1359"/>
    <d v="2025-10-13T00:00:00"/>
    <s v="Rohit Gupta"/>
    <x v="1"/>
    <s v="West Bengal"/>
    <s v="Furniture"/>
    <s v="Table"/>
    <s v="Study Table"/>
    <n v="46929"/>
    <n v="7"/>
    <s v="5%"/>
    <n v="8622.49"/>
    <x v="10"/>
    <x v="0"/>
  </r>
  <r>
    <s v="ORD1360"/>
    <d v="2025-12-26T00:00:00"/>
    <s v="Sneha Joshi"/>
    <x v="3"/>
    <s v="Rajasthan"/>
    <s v="Furniture"/>
    <s v="Table"/>
    <s v="Study Table"/>
    <n v="3321"/>
    <n v="6"/>
    <s v="20%"/>
    <n v="859.61"/>
    <x v="7"/>
    <x v="0"/>
  </r>
  <r>
    <s v="ORD1361"/>
    <d v="2025-05-01T00:00:00"/>
    <s v="Simran Kaur"/>
    <x v="2"/>
    <s v="Karnataka"/>
    <s v="Office Supplies"/>
    <s v="Paper"/>
    <s v="A4 Paper Pack"/>
    <n v="55155"/>
    <n v="10"/>
    <s v="0%"/>
    <n v="6594.01"/>
    <x v="3"/>
    <x v="0"/>
  </r>
  <r>
    <s v="ORD1362"/>
    <d v="2025-06-25T00:00:00"/>
    <s v="Arjun Rana"/>
    <x v="2"/>
    <s v="Tamil Nadu"/>
    <s v="Office Supplies"/>
    <s v="Binder"/>
    <s v="A4 Binder"/>
    <n v="59660"/>
    <n v="6"/>
    <s v="0%"/>
    <n v="5344.98"/>
    <x v="9"/>
    <x v="0"/>
  </r>
  <r>
    <s v="ORD1363"/>
    <d v="2025-02-04T00:00:00"/>
    <s v="Amit Kumar"/>
    <x v="0"/>
    <s v="Delhi"/>
    <s v="Furniture"/>
    <s v="Chair"/>
    <s v="Office Chair"/>
    <n v="33372"/>
    <n v="6"/>
    <s v="0%"/>
    <n v="6026.3"/>
    <x v="11"/>
    <x v="0"/>
  </r>
  <r>
    <s v="ORD1364"/>
    <d v="2025-11-24T00:00:00"/>
    <s v="Amit Kumar"/>
    <x v="3"/>
    <s v="Gujarat"/>
    <s v="Office Supplies"/>
    <s v="Pen"/>
    <s v="Gel Pen Set"/>
    <n v="39591"/>
    <n v="6"/>
    <s v="15%"/>
    <n v="4320.99"/>
    <x v="1"/>
    <x v="0"/>
  </r>
  <r>
    <s v="ORD1365"/>
    <d v="2025-09-09T00:00:00"/>
    <s v="Amit Kumar"/>
    <x v="2"/>
    <s v="Karnataka"/>
    <s v="Technology"/>
    <s v="Accessories"/>
    <s v="Wireless Mouse"/>
    <n v="22399"/>
    <n v="7"/>
    <s v="20%"/>
    <n v="2933.87"/>
    <x v="5"/>
    <x v="0"/>
  </r>
  <r>
    <s v="ORD1366"/>
    <d v="2025-09-10T00:00:00"/>
    <s v="Sneha Joshi"/>
    <x v="1"/>
    <s v="Odisha"/>
    <s v="Technology"/>
    <s v="Mobile"/>
    <s v="Samsung Galaxy"/>
    <n v="31557"/>
    <n v="2"/>
    <s v="0%"/>
    <n v="2953.08"/>
    <x v="5"/>
    <x v="0"/>
  </r>
  <r>
    <s v="ORD1367"/>
    <d v="2025-08-21T00:00:00"/>
    <s v="Simran Kaur"/>
    <x v="0"/>
    <s v="Punjab"/>
    <s v="Technology"/>
    <s v="Accessories"/>
    <s v="Wireless Mouse"/>
    <n v="79788"/>
    <n v="4"/>
    <s v="5%"/>
    <n v="16188.14"/>
    <x v="2"/>
    <x v="0"/>
  </r>
  <r>
    <s v="ORD1368"/>
    <d v="2025-11-12T00:00:00"/>
    <s v="Karan Patel"/>
    <x v="1"/>
    <s v="Bihar"/>
    <s v="Furniture"/>
    <s v="Table"/>
    <s v="Study Table"/>
    <n v="66637"/>
    <n v="6"/>
    <s v="10%"/>
    <n v="13999.62"/>
    <x v="1"/>
    <x v="0"/>
  </r>
  <r>
    <s v="ORD1369"/>
    <d v="2025-06-20T00:00:00"/>
    <s v="Amit Kumar"/>
    <x v="0"/>
    <s v="Delhi"/>
    <s v="Office Supplies"/>
    <s v="Paper"/>
    <s v="A4 Paper Pack"/>
    <n v="53171"/>
    <n v="3"/>
    <s v="15%"/>
    <n v="7195.83"/>
    <x v="9"/>
    <x v="0"/>
  </r>
  <r>
    <s v="ORD1370"/>
    <d v="2025-01-03T00:00:00"/>
    <s v="Neha Singh"/>
    <x v="1"/>
    <s v="Odisha"/>
    <s v="Office Supplies"/>
    <s v="Paper"/>
    <s v="A4 Paper Pack"/>
    <n v="57393"/>
    <n v="5"/>
    <s v="0%"/>
    <n v="12072.71"/>
    <x v="8"/>
    <x v="0"/>
  </r>
  <r>
    <s v="ORD1371"/>
    <d v="2025-08-06T00:00:00"/>
    <s v="Amit Kumar"/>
    <x v="2"/>
    <s v="Kerala"/>
    <s v="Office Supplies"/>
    <s v="Paper"/>
    <s v="A4 Paper Pack"/>
    <n v="22204"/>
    <n v="7"/>
    <s v="15%"/>
    <n v="2608.1"/>
    <x v="2"/>
    <x v="0"/>
  </r>
  <r>
    <s v="ORD1372"/>
    <d v="2025-05-08T00:00:00"/>
    <s v="Arjun Rana"/>
    <x v="1"/>
    <s v="Bihar"/>
    <s v="Technology"/>
    <s v="Laptop"/>
    <s v="HP Pavilion"/>
    <n v="62026"/>
    <n v="8"/>
    <s v="5%"/>
    <n v="7009.5"/>
    <x v="3"/>
    <x v="0"/>
  </r>
  <r>
    <s v="ORD1373"/>
    <d v="2025-01-16T00:00:00"/>
    <s v="Sneha Joshi"/>
    <x v="2"/>
    <s v="Kerala"/>
    <s v="Office Supplies"/>
    <s v="Paper"/>
    <s v="A4 Paper Pack"/>
    <n v="45240"/>
    <n v="5"/>
    <s v="20%"/>
    <n v="10432.67"/>
    <x v="8"/>
    <x v="0"/>
  </r>
  <r>
    <s v="ORD1374"/>
    <d v="2025-10-27T00:00:00"/>
    <s v="Rahul Sharma"/>
    <x v="1"/>
    <s v="West Bengal"/>
    <s v="Technology"/>
    <s v="Accessories"/>
    <s v="Wireless Mouse"/>
    <n v="37746"/>
    <n v="6"/>
    <s v="20%"/>
    <n v="5625.54"/>
    <x v="10"/>
    <x v="0"/>
  </r>
  <r>
    <s v="ORD1375"/>
    <d v="2025-05-22T00:00:00"/>
    <s v="Karan Patel"/>
    <x v="3"/>
    <s v="Maharashtra"/>
    <s v="Office Supplies"/>
    <s v="Binder"/>
    <s v="A4 Binder"/>
    <n v="28034"/>
    <n v="6"/>
    <s v="20%"/>
    <n v="6024.38"/>
    <x v="3"/>
    <x v="0"/>
  </r>
  <r>
    <s v="ORD1376"/>
    <d v="2025-05-23T00:00:00"/>
    <s v="Priya Verma"/>
    <x v="1"/>
    <s v="West Bengal"/>
    <s v="Technology"/>
    <s v="Accessories"/>
    <s v="Wireless Mouse"/>
    <n v="15130"/>
    <n v="4"/>
    <s v="15%"/>
    <n v="1000.5"/>
    <x v="3"/>
    <x v="0"/>
  </r>
  <r>
    <s v="ORD1377"/>
    <d v="2025-11-16T00:00:00"/>
    <s v="Arjun Rana"/>
    <x v="0"/>
    <s v="Punjab"/>
    <s v="Office Supplies"/>
    <s v="Binder"/>
    <s v="A4 Binder"/>
    <n v="51543"/>
    <n v="2"/>
    <s v="0%"/>
    <n v="4343.5"/>
    <x v="1"/>
    <x v="0"/>
  </r>
  <r>
    <s v="ORD1378"/>
    <d v="2025-05-21T00:00:00"/>
    <s v="Amit Kumar"/>
    <x v="1"/>
    <s v="Bihar"/>
    <s v="Technology"/>
    <s v="Laptop"/>
    <s v="HP Pavilion"/>
    <n v="30558"/>
    <n v="7"/>
    <s v="10%"/>
    <n v="2567.4299999999998"/>
    <x v="3"/>
    <x v="0"/>
  </r>
  <r>
    <s v="ORD1379"/>
    <d v="2025-05-07T00:00:00"/>
    <s v="Amit Kumar"/>
    <x v="3"/>
    <s v="Gujarat"/>
    <s v="Technology"/>
    <s v="Accessories"/>
    <s v="Wireless Mouse"/>
    <n v="76297"/>
    <n v="5"/>
    <s v="20%"/>
    <n v="19673.2"/>
    <x v="3"/>
    <x v="0"/>
  </r>
  <r>
    <s v="ORD1380"/>
    <d v="2025-06-18T00:00:00"/>
    <s v="Sneha Joshi"/>
    <x v="1"/>
    <s v="West Bengal"/>
    <s v="Office Supplies"/>
    <s v="Pen"/>
    <s v="Gel Pen Set"/>
    <n v="16291"/>
    <n v="9"/>
    <s v="5%"/>
    <n v="3811.35"/>
    <x v="9"/>
    <x v="0"/>
  </r>
  <r>
    <s v="ORD1381"/>
    <d v="2025-03-21T00:00:00"/>
    <s v="Rohit Gupta"/>
    <x v="3"/>
    <s v="Maharashtra"/>
    <s v="Office Supplies"/>
    <s v="Paper"/>
    <s v="A4 Paper Pack"/>
    <n v="10603"/>
    <n v="10"/>
    <s v="15%"/>
    <n v="2626.22"/>
    <x v="6"/>
    <x v="0"/>
  </r>
  <r>
    <s v="ORD1382"/>
    <d v="2025-08-30T00:00:00"/>
    <s v="Neha Singh"/>
    <x v="2"/>
    <s v="Karnataka"/>
    <s v="Technology"/>
    <s v="Laptop"/>
    <s v="HP Pavilion"/>
    <n v="74583"/>
    <n v="9"/>
    <s v="0%"/>
    <n v="14237.02"/>
    <x v="2"/>
    <x v="0"/>
  </r>
  <r>
    <s v="ORD1383"/>
    <d v="2025-01-13T00:00:00"/>
    <s v="Rahul Sharma"/>
    <x v="2"/>
    <s v="Tamil Nadu"/>
    <s v="Technology"/>
    <s v="Mobile"/>
    <s v="Samsung Galaxy"/>
    <n v="28236"/>
    <n v="3"/>
    <s v="5%"/>
    <n v="3285.02"/>
    <x v="8"/>
    <x v="0"/>
  </r>
  <r>
    <s v="ORD1384"/>
    <d v="2025-02-13T00:00:00"/>
    <s v="Priya Verma"/>
    <x v="2"/>
    <s v="Tamil Nadu"/>
    <s v="Technology"/>
    <s v="Mobile"/>
    <s v="Samsung Galaxy"/>
    <n v="39824"/>
    <n v="2"/>
    <s v="10%"/>
    <n v="8813.14"/>
    <x v="11"/>
    <x v="0"/>
  </r>
  <r>
    <s v="ORD1385"/>
    <d v="2025-02-04T00:00:00"/>
    <s v="Rohit Gupta"/>
    <x v="0"/>
    <s v="Haryana"/>
    <s v="Technology"/>
    <s v="Laptop"/>
    <s v="HP Pavilion"/>
    <n v="72197"/>
    <n v="4"/>
    <s v="10%"/>
    <n v="11830.43"/>
    <x v="11"/>
    <x v="0"/>
  </r>
  <r>
    <s v="ORD1386"/>
    <d v="2025-06-16T00:00:00"/>
    <s v="Simran Kaur"/>
    <x v="1"/>
    <s v="West Bengal"/>
    <s v="Furniture"/>
    <s v="Chair"/>
    <s v="Office Chair"/>
    <n v="74371"/>
    <n v="2"/>
    <s v="15%"/>
    <n v="16793.84"/>
    <x v="9"/>
    <x v="0"/>
  </r>
  <r>
    <s v="ORD1387"/>
    <d v="2025-12-31T00:00:00"/>
    <s v="Karan Patel"/>
    <x v="0"/>
    <s v="Delhi"/>
    <s v="Furniture"/>
    <s v="Chair"/>
    <s v="Office Chair"/>
    <n v="64570"/>
    <n v="6"/>
    <s v="10%"/>
    <n v="14706.27"/>
    <x v="7"/>
    <x v="0"/>
  </r>
  <r>
    <s v="ORD1388"/>
    <d v="2025-06-18T00:00:00"/>
    <s v="Amit Kumar"/>
    <x v="1"/>
    <s v="Bihar"/>
    <s v="Office Supplies"/>
    <s v="Paper"/>
    <s v="A4 Paper Pack"/>
    <n v="34656"/>
    <n v="6"/>
    <s v="0%"/>
    <n v="5129.6899999999996"/>
    <x v="9"/>
    <x v="0"/>
  </r>
  <r>
    <s v="ORD1389"/>
    <d v="2025-07-04T00:00:00"/>
    <s v="Karan Patel"/>
    <x v="2"/>
    <s v="Tamil Nadu"/>
    <s v="Technology"/>
    <s v="Mobile"/>
    <s v="Samsung Galaxy"/>
    <n v="9264"/>
    <n v="8"/>
    <s v="20%"/>
    <n v="1391.63"/>
    <x v="4"/>
    <x v="0"/>
  </r>
  <r>
    <s v="ORD1390"/>
    <d v="2025-08-02T00:00:00"/>
    <s v="Amit Kumar"/>
    <x v="2"/>
    <s v="Karnataka"/>
    <s v="Office Supplies"/>
    <s v="Pen"/>
    <s v="Gel Pen Set"/>
    <n v="28327"/>
    <n v="10"/>
    <s v="20%"/>
    <n v="3218.82"/>
    <x v="2"/>
    <x v="0"/>
  </r>
  <r>
    <s v="ORD1391"/>
    <d v="2025-05-11T00:00:00"/>
    <s v="Anjali Mehta"/>
    <x v="3"/>
    <s v="Gujarat"/>
    <s v="Furniture"/>
    <s v="Chair"/>
    <s v="Office Chair"/>
    <n v="38814"/>
    <n v="5"/>
    <s v="20%"/>
    <n v="4669.1899999999996"/>
    <x v="3"/>
    <x v="0"/>
  </r>
  <r>
    <s v="ORD1392"/>
    <d v="2025-01-09T00:00:00"/>
    <s v="Amit Kumar"/>
    <x v="3"/>
    <s v="Gujarat"/>
    <s v="Technology"/>
    <s v="Accessories"/>
    <s v="Wireless Mouse"/>
    <n v="19351"/>
    <n v="3"/>
    <s v="5%"/>
    <n v="3357.56"/>
    <x v="8"/>
    <x v="0"/>
  </r>
  <r>
    <s v="ORD1393"/>
    <d v="2025-07-04T00:00:00"/>
    <s v="Amit Kumar"/>
    <x v="0"/>
    <s v="Delhi"/>
    <s v="Technology"/>
    <s v="Accessories"/>
    <s v="Wireless Mouse"/>
    <n v="41814"/>
    <n v="1"/>
    <s v="15%"/>
    <n v="5508.81"/>
    <x v="4"/>
    <x v="0"/>
  </r>
  <r>
    <s v="ORD1394"/>
    <d v="2025-03-12T00:00:00"/>
    <s v="Rohit Gupta"/>
    <x v="3"/>
    <s v="Maharashtra"/>
    <s v="Office Supplies"/>
    <s v="Paper"/>
    <s v="A4 Paper Pack"/>
    <n v="59975"/>
    <n v="9"/>
    <s v="20%"/>
    <n v="8841.56"/>
    <x v="6"/>
    <x v="0"/>
  </r>
  <r>
    <s v="ORD1395"/>
    <d v="2025-02-28T00:00:00"/>
    <s v="Sneha Joshi"/>
    <x v="3"/>
    <s v="Maharashtra"/>
    <s v="Furniture"/>
    <s v="Bookcase"/>
    <s v="Wooden Bookcase"/>
    <n v="49220"/>
    <n v="2"/>
    <s v="20%"/>
    <n v="3206.05"/>
    <x v="11"/>
    <x v="0"/>
  </r>
  <r>
    <s v="ORD1396"/>
    <d v="2025-01-20T00:00:00"/>
    <s v="Anjali Mehta"/>
    <x v="0"/>
    <s v="Haryana"/>
    <s v="Technology"/>
    <s v="Accessories"/>
    <s v="Wireless Mouse"/>
    <n v="18745"/>
    <n v="8"/>
    <s v="10%"/>
    <n v="1527.17"/>
    <x v="8"/>
    <x v="0"/>
  </r>
  <r>
    <s v="ORD1397"/>
    <d v="2025-05-27T00:00:00"/>
    <s v="Priya Verma"/>
    <x v="3"/>
    <s v="Maharashtra"/>
    <s v="Furniture"/>
    <s v="Chair"/>
    <s v="Office Chair"/>
    <n v="65434"/>
    <n v="2"/>
    <s v="5%"/>
    <n v="7515.27"/>
    <x v="3"/>
    <x v="0"/>
  </r>
  <r>
    <s v="ORD1398"/>
    <d v="2025-06-29T00:00:00"/>
    <s v="Rohit Gupta"/>
    <x v="3"/>
    <s v="Gujarat"/>
    <s v="Furniture"/>
    <s v="Chair"/>
    <s v="Office Chair"/>
    <n v="13344"/>
    <n v="2"/>
    <s v="5%"/>
    <n v="2367.91"/>
    <x v="9"/>
    <x v="0"/>
  </r>
  <r>
    <s v="ORD1399"/>
    <d v="2025-01-04T00:00:00"/>
    <s v="Simran Kaur"/>
    <x v="0"/>
    <s v="Delhi"/>
    <s v="Furniture"/>
    <s v="Bookcase"/>
    <s v="Wooden Bookcase"/>
    <n v="69351"/>
    <n v="8"/>
    <s v="0%"/>
    <n v="13525.58"/>
    <x v="8"/>
    <x v="0"/>
  </r>
  <r>
    <s v="ORD1400"/>
    <d v="2025-11-23T00:00:00"/>
    <s v="Priya Verma"/>
    <x v="0"/>
    <s v="Haryana"/>
    <s v="Office Supplies"/>
    <s v="Pen"/>
    <s v="Gel Pen Set"/>
    <n v="11521"/>
    <n v="8"/>
    <s v="5%"/>
    <n v="2389.7199999999998"/>
    <x v="1"/>
    <x v="0"/>
  </r>
  <r>
    <s v="ORD1401"/>
    <d v="2025-02-03T00:00:00"/>
    <s v="Arjun Rana"/>
    <x v="1"/>
    <s v="Odisha"/>
    <s v="Office Supplies"/>
    <s v="Pen"/>
    <s v="Gel Pen Set"/>
    <n v="40002"/>
    <n v="8"/>
    <s v="5%"/>
    <n v="6832.02"/>
    <x v="11"/>
    <x v="0"/>
  </r>
  <r>
    <s v="ORD1402"/>
    <d v="2025-05-29T00:00:00"/>
    <s v="Neha Singh"/>
    <x v="2"/>
    <s v="Kerala"/>
    <s v="Furniture"/>
    <s v="Chair"/>
    <s v="Office Chair"/>
    <n v="59462"/>
    <n v="10"/>
    <s v="10%"/>
    <n v="12014.26"/>
    <x v="3"/>
    <x v="0"/>
  </r>
  <r>
    <s v="ORD1403"/>
    <d v="2025-05-04T00:00:00"/>
    <s v="Simran Kaur"/>
    <x v="3"/>
    <s v="Rajasthan"/>
    <s v="Office Supplies"/>
    <s v="Paper"/>
    <s v="A4 Paper Pack"/>
    <n v="42773"/>
    <n v="8"/>
    <s v="5%"/>
    <n v="5016.18"/>
    <x v="3"/>
    <x v="0"/>
  </r>
  <r>
    <s v="ORD1404"/>
    <d v="2025-05-14T00:00:00"/>
    <s v="Karan Patel"/>
    <x v="2"/>
    <s v="Kerala"/>
    <s v="Office Supplies"/>
    <s v="Paper"/>
    <s v="A4 Paper Pack"/>
    <n v="48775"/>
    <n v="7"/>
    <s v="0%"/>
    <n v="4514.28"/>
    <x v="3"/>
    <x v="0"/>
  </r>
  <r>
    <s v="ORD1405"/>
    <d v="2025-06-17T00:00:00"/>
    <s v="Anjali Mehta"/>
    <x v="2"/>
    <s v="Kerala"/>
    <s v="Office Supplies"/>
    <s v="Pen"/>
    <s v="Gel Pen Set"/>
    <n v="892"/>
    <n v="9"/>
    <s v="10%"/>
    <n v="234.48"/>
    <x v="9"/>
    <x v="0"/>
  </r>
  <r>
    <s v="ORD1406"/>
    <d v="2025-07-01T00:00:00"/>
    <s v="Neha Singh"/>
    <x v="0"/>
    <s v="Punjab"/>
    <s v="Office Supplies"/>
    <s v="Binder"/>
    <s v="A4 Binder"/>
    <n v="76060"/>
    <n v="8"/>
    <s v="20%"/>
    <n v="10760.94"/>
    <x v="4"/>
    <x v="0"/>
  </r>
  <r>
    <s v="ORD1407"/>
    <d v="2025-01-25T00:00:00"/>
    <s v="Anjali Mehta"/>
    <x v="0"/>
    <s v="Punjab"/>
    <s v="Furniture"/>
    <s v="Chair"/>
    <s v="Office Chair"/>
    <n v="44375"/>
    <n v="9"/>
    <s v="5%"/>
    <n v="5683.2"/>
    <x v="8"/>
    <x v="0"/>
  </r>
  <r>
    <s v="ORD1408"/>
    <d v="2025-02-18T00:00:00"/>
    <s v="Priya Verma"/>
    <x v="3"/>
    <s v="Gujarat"/>
    <s v="Furniture"/>
    <s v="Bookcase"/>
    <s v="Wooden Bookcase"/>
    <n v="50835"/>
    <n v="2"/>
    <s v="15%"/>
    <n v="11791.21"/>
    <x v="11"/>
    <x v="0"/>
  </r>
  <r>
    <s v="ORD1409"/>
    <d v="2025-08-29T00:00:00"/>
    <s v="Amit Kumar"/>
    <x v="3"/>
    <s v="Maharashtra"/>
    <s v="Office Supplies"/>
    <s v="Pen"/>
    <s v="Gel Pen Set"/>
    <n v="78622"/>
    <n v="5"/>
    <s v="15%"/>
    <n v="7478.23"/>
    <x v="2"/>
    <x v="0"/>
  </r>
  <r>
    <s v="ORD1410"/>
    <d v="2025-12-31T00:00:00"/>
    <s v="Neha Singh"/>
    <x v="0"/>
    <s v="Delhi"/>
    <s v="Furniture"/>
    <s v="Chair"/>
    <s v="Office Chair"/>
    <n v="73736"/>
    <n v="2"/>
    <s v="5%"/>
    <n v="13536.58"/>
    <x v="7"/>
    <x v="0"/>
  </r>
  <r>
    <s v="ORD1411"/>
    <d v="2025-12-15T00:00:00"/>
    <s v="Amit Kumar"/>
    <x v="1"/>
    <s v="Bihar"/>
    <s v="Technology"/>
    <s v="Mobile"/>
    <s v="Samsung Galaxy"/>
    <n v="16800"/>
    <n v="6"/>
    <s v="5%"/>
    <n v="4564.6099999999997"/>
    <x v="7"/>
    <x v="0"/>
  </r>
  <r>
    <s v="ORD1412"/>
    <d v="2025-08-08T00:00:00"/>
    <s v="Neha Singh"/>
    <x v="0"/>
    <s v="Punjab"/>
    <s v="Office Supplies"/>
    <s v="Paper"/>
    <s v="A4 Paper Pack"/>
    <n v="32644"/>
    <n v="1"/>
    <s v="5%"/>
    <n v="3823.58"/>
    <x v="2"/>
    <x v="0"/>
  </r>
  <r>
    <s v="ORD1413"/>
    <d v="2025-04-02T00:00:00"/>
    <s v="Arjun Rana"/>
    <x v="0"/>
    <s v="Delhi"/>
    <s v="Office Supplies"/>
    <s v="Binder"/>
    <s v="A4 Binder"/>
    <n v="36829"/>
    <n v="1"/>
    <s v="15%"/>
    <n v="2760.13"/>
    <x v="0"/>
    <x v="0"/>
  </r>
  <r>
    <s v="ORD1414"/>
    <d v="2025-03-09T00:00:00"/>
    <s v="Sneha Joshi"/>
    <x v="1"/>
    <s v="Odisha"/>
    <s v="Technology"/>
    <s v="Laptop"/>
    <s v="HP Pavilion"/>
    <n v="46248"/>
    <n v="9"/>
    <s v="10%"/>
    <n v="4128.1000000000004"/>
    <x v="6"/>
    <x v="0"/>
  </r>
  <r>
    <s v="ORD1415"/>
    <d v="2025-07-08T00:00:00"/>
    <s v="Simran Kaur"/>
    <x v="2"/>
    <s v="Karnataka"/>
    <s v="Technology"/>
    <s v="Accessories"/>
    <s v="Wireless Mouse"/>
    <n v="40942"/>
    <n v="9"/>
    <s v="0%"/>
    <n v="10382.57"/>
    <x v="4"/>
    <x v="0"/>
  </r>
  <r>
    <s v="ORD1416"/>
    <d v="2025-05-16T00:00:00"/>
    <s v="Rahul Sharma"/>
    <x v="0"/>
    <s v="Haryana"/>
    <s v="Furniture"/>
    <s v="Bookcase"/>
    <s v="Wooden Bookcase"/>
    <n v="46088"/>
    <n v="6"/>
    <s v="5%"/>
    <n v="11570.7"/>
    <x v="3"/>
    <x v="0"/>
  </r>
  <r>
    <s v="ORD1417"/>
    <d v="2025-10-26T00:00:00"/>
    <s v="Arjun Rana"/>
    <x v="3"/>
    <s v="Maharashtra"/>
    <s v="Technology"/>
    <s v="Laptop"/>
    <s v="HP Pavilion"/>
    <n v="68759"/>
    <n v="3"/>
    <s v="20%"/>
    <n v="6667.65"/>
    <x v="10"/>
    <x v="0"/>
  </r>
  <r>
    <s v="ORD1418"/>
    <d v="2025-09-27T00:00:00"/>
    <s v="Rohit Gupta"/>
    <x v="1"/>
    <s v="Odisha"/>
    <s v="Office Supplies"/>
    <s v="Binder"/>
    <s v="A4 Binder"/>
    <n v="30527"/>
    <n v="4"/>
    <s v="20%"/>
    <n v="3744.22"/>
    <x v="5"/>
    <x v="0"/>
  </r>
  <r>
    <s v="ORD1419"/>
    <d v="2025-10-31T00:00:00"/>
    <s v="Priya Verma"/>
    <x v="2"/>
    <s v="Karnataka"/>
    <s v="Furniture"/>
    <s v="Table"/>
    <s v="Study Table"/>
    <n v="47576"/>
    <n v="8"/>
    <s v="0%"/>
    <n v="5323.47"/>
    <x v="10"/>
    <x v="0"/>
  </r>
  <r>
    <s v="ORD1420"/>
    <d v="2025-11-18T00:00:00"/>
    <s v="Karan Patel"/>
    <x v="0"/>
    <s v="Delhi"/>
    <s v="Office Supplies"/>
    <s v="Paper"/>
    <s v="A4 Paper Pack"/>
    <n v="42512"/>
    <n v="4"/>
    <s v="10%"/>
    <n v="11273.16"/>
    <x v="1"/>
    <x v="0"/>
  </r>
  <r>
    <s v="ORD1421"/>
    <d v="2025-11-20T00:00:00"/>
    <s v="Neha Singh"/>
    <x v="3"/>
    <s v="Gujarat"/>
    <s v="Office Supplies"/>
    <s v="Pen"/>
    <s v="Gel Pen Set"/>
    <n v="41535"/>
    <n v="1"/>
    <s v="10%"/>
    <n v="8774.33"/>
    <x v="1"/>
    <x v="0"/>
  </r>
  <r>
    <s v="ORD1422"/>
    <d v="2025-08-19T00:00:00"/>
    <s v="Arjun Rana"/>
    <x v="0"/>
    <s v="Punjab"/>
    <s v="Furniture"/>
    <s v="Table"/>
    <s v="Study Table"/>
    <n v="1239"/>
    <n v="5"/>
    <s v="0%"/>
    <n v="281.93"/>
    <x v="2"/>
    <x v="0"/>
  </r>
  <r>
    <s v="ORD1423"/>
    <d v="2025-05-08T00:00:00"/>
    <s v="Sneha Joshi"/>
    <x v="3"/>
    <s v="Rajasthan"/>
    <s v="Furniture"/>
    <s v="Chair"/>
    <s v="Office Chair"/>
    <n v="56611"/>
    <n v="4"/>
    <s v="5%"/>
    <n v="7497.82"/>
    <x v="3"/>
    <x v="0"/>
  </r>
  <r>
    <s v="ORD1424"/>
    <d v="2025-03-26T00:00:00"/>
    <s v="Anjali Mehta"/>
    <x v="0"/>
    <s v="Haryana"/>
    <s v="Technology"/>
    <s v="Laptop"/>
    <s v="HP Pavilion"/>
    <n v="55743"/>
    <n v="9"/>
    <s v="20%"/>
    <n v="14097.73"/>
    <x v="6"/>
    <x v="0"/>
  </r>
  <r>
    <s v="ORD1425"/>
    <d v="2025-06-06T00:00:00"/>
    <s v="Sneha Joshi"/>
    <x v="0"/>
    <s v="Haryana"/>
    <s v="Technology"/>
    <s v="Mobile"/>
    <s v="Samsung Galaxy"/>
    <n v="31794"/>
    <n v="2"/>
    <s v="5%"/>
    <n v="4389.74"/>
    <x v="9"/>
    <x v="0"/>
  </r>
  <r>
    <s v="ORD1426"/>
    <d v="2025-11-14T00:00:00"/>
    <s v="Anjali Mehta"/>
    <x v="1"/>
    <s v="Odisha"/>
    <s v="Furniture"/>
    <s v="Bookcase"/>
    <s v="Wooden Bookcase"/>
    <n v="42133"/>
    <n v="6"/>
    <s v="15%"/>
    <n v="4088.61"/>
    <x v="1"/>
    <x v="0"/>
  </r>
  <r>
    <s v="ORD1427"/>
    <d v="2025-08-07T00:00:00"/>
    <s v="Karan Patel"/>
    <x v="3"/>
    <s v="Gujarat"/>
    <s v="Furniture"/>
    <s v="Bookcase"/>
    <s v="Wooden Bookcase"/>
    <n v="54125"/>
    <n v="1"/>
    <s v="5%"/>
    <n v="5802.29"/>
    <x v="2"/>
    <x v="0"/>
  </r>
  <r>
    <s v="ORD1428"/>
    <d v="2025-10-06T00:00:00"/>
    <s v="Anjali Mehta"/>
    <x v="0"/>
    <s v="Punjab"/>
    <s v="Furniture"/>
    <s v="Chair"/>
    <s v="Office Chair"/>
    <n v="52818"/>
    <n v="7"/>
    <s v="15%"/>
    <n v="11113.71"/>
    <x v="10"/>
    <x v="0"/>
  </r>
  <r>
    <s v="ORD1429"/>
    <d v="2025-06-18T00:00:00"/>
    <s v="Arjun Rana"/>
    <x v="0"/>
    <s v="Delhi"/>
    <s v="Furniture"/>
    <s v="Table"/>
    <s v="Study Table"/>
    <n v="21936"/>
    <n v="1"/>
    <s v="20%"/>
    <n v="4939.28"/>
    <x v="9"/>
    <x v="0"/>
  </r>
  <r>
    <s v="ORD1430"/>
    <d v="2025-07-09T00:00:00"/>
    <s v="Priya Verma"/>
    <x v="0"/>
    <s v="Haryana"/>
    <s v="Office Supplies"/>
    <s v="Paper"/>
    <s v="A4 Paper Pack"/>
    <n v="62799"/>
    <n v="9"/>
    <s v="10%"/>
    <n v="7843.46"/>
    <x v="4"/>
    <x v="0"/>
  </r>
  <r>
    <s v="ORD1431"/>
    <d v="2025-12-09T00:00:00"/>
    <s v="Simran Kaur"/>
    <x v="0"/>
    <s v="Haryana"/>
    <s v="Office Supplies"/>
    <s v="Binder"/>
    <s v="A4 Binder"/>
    <n v="34528"/>
    <n v="3"/>
    <s v="0%"/>
    <n v="6347.72"/>
    <x v="7"/>
    <x v="0"/>
  </r>
  <r>
    <s v="ORD1432"/>
    <d v="2025-12-30T00:00:00"/>
    <s v="Arjun Rana"/>
    <x v="3"/>
    <s v="Maharashtra"/>
    <s v="Technology"/>
    <s v="Accessories"/>
    <s v="Wireless Mouse"/>
    <n v="11055"/>
    <n v="6"/>
    <s v="15%"/>
    <n v="1935.15"/>
    <x v="7"/>
    <x v="0"/>
  </r>
  <r>
    <s v="ORD1433"/>
    <d v="2025-09-12T00:00:00"/>
    <s v="Amit Kumar"/>
    <x v="0"/>
    <s v="Haryana"/>
    <s v="Technology"/>
    <s v="Laptop"/>
    <s v="HP Pavilion"/>
    <n v="2413"/>
    <n v="7"/>
    <s v="15%"/>
    <n v="250.2"/>
    <x v="5"/>
    <x v="0"/>
  </r>
  <r>
    <s v="ORD1434"/>
    <d v="2025-08-23T00:00:00"/>
    <s v="Arjun Rana"/>
    <x v="0"/>
    <s v="Haryana"/>
    <s v="Technology"/>
    <s v="Mobile"/>
    <s v="Samsung Galaxy"/>
    <n v="19160"/>
    <n v="8"/>
    <s v="20%"/>
    <n v="3881.1"/>
    <x v="2"/>
    <x v="0"/>
  </r>
  <r>
    <s v="ORD1435"/>
    <d v="2025-09-06T00:00:00"/>
    <s v="Sneha Joshi"/>
    <x v="0"/>
    <s v="Haryana"/>
    <s v="Office Supplies"/>
    <s v="Paper"/>
    <s v="A4 Paper Pack"/>
    <n v="32184"/>
    <n v="8"/>
    <s v="20%"/>
    <n v="3481.19"/>
    <x v="5"/>
    <x v="0"/>
  </r>
  <r>
    <s v="ORD1436"/>
    <d v="2025-01-27T00:00:00"/>
    <s v="Karan Patel"/>
    <x v="2"/>
    <s v="Karnataka"/>
    <s v="Furniture"/>
    <s v="Table"/>
    <s v="Study Table"/>
    <n v="40026"/>
    <n v="7"/>
    <s v="5%"/>
    <n v="6188.07"/>
    <x v="8"/>
    <x v="0"/>
  </r>
  <r>
    <s v="ORD1437"/>
    <d v="2025-06-21T00:00:00"/>
    <s v="Amit Kumar"/>
    <x v="3"/>
    <s v="Gujarat"/>
    <s v="Furniture"/>
    <s v="Chair"/>
    <s v="Office Chair"/>
    <n v="76316"/>
    <n v="8"/>
    <s v="20%"/>
    <n v="7714"/>
    <x v="9"/>
    <x v="0"/>
  </r>
  <r>
    <s v="ORD1438"/>
    <d v="2025-09-15T00:00:00"/>
    <s v="Rohit Gupta"/>
    <x v="2"/>
    <s v="Karnataka"/>
    <s v="Furniture"/>
    <s v="Table"/>
    <s v="Study Table"/>
    <n v="72784"/>
    <n v="10"/>
    <s v="15%"/>
    <n v="15965.03"/>
    <x v="5"/>
    <x v="0"/>
  </r>
  <r>
    <s v="ORD1439"/>
    <d v="2025-08-22T00:00:00"/>
    <s v="Amit Kumar"/>
    <x v="1"/>
    <s v="Odisha"/>
    <s v="Furniture"/>
    <s v="Table"/>
    <s v="Study Table"/>
    <n v="53689"/>
    <n v="3"/>
    <s v="10%"/>
    <n v="12622.57"/>
    <x v="2"/>
    <x v="0"/>
  </r>
  <r>
    <s v="ORD1440"/>
    <d v="2025-08-02T00:00:00"/>
    <s v="Sneha Joshi"/>
    <x v="3"/>
    <s v="Maharashtra"/>
    <s v="Furniture"/>
    <s v="Table"/>
    <s v="Study Table"/>
    <n v="60374"/>
    <n v="6"/>
    <s v="15%"/>
    <n v="14266.41"/>
    <x v="2"/>
    <x v="0"/>
  </r>
  <r>
    <s v="ORD1441"/>
    <d v="2025-12-02T00:00:00"/>
    <s v="Amit Kumar"/>
    <x v="3"/>
    <s v="Rajasthan"/>
    <s v="Furniture"/>
    <s v="Table"/>
    <s v="Study Table"/>
    <n v="35570"/>
    <n v="8"/>
    <s v="20%"/>
    <n v="4279.0200000000004"/>
    <x v="7"/>
    <x v="0"/>
  </r>
  <r>
    <s v="ORD1442"/>
    <d v="2025-04-01T00:00:00"/>
    <s v="Priya Verma"/>
    <x v="2"/>
    <s v="Karnataka"/>
    <s v="Office Supplies"/>
    <s v="Binder"/>
    <s v="A4 Binder"/>
    <n v="10704"/>
    <n v="1"/>
    <s v="20%"/>
    <n v="1316.11"/>
    <x v="0"/>
    <x v="0"/>
  </r>
  <r>
    <s v="ORD1443"/>
    <d v="2025-09-25T00:00:00"/>
    <s v="Arjun Rana"/>
    <x v="2"/>
    <s v="Karnataka"/>
    <s v="Technology"/>
    <s v="Accessories"/>
    <s v="Wireless Mouse"/>
    <n v="24385"/>
    <n v="9"/>
    <s v="0%"/>
    <n v="4777.79"/>
    <x v="5"/>
    <x v="0"/>
  </r>
  <r>
    <s v="ORD1444"/>
    <d v="2025-08-29T00:00:00"/>
    <s v="Karan Patel"/>
    <x v="0"/>
    <s v="Delhi"/>
    <s v="Technology"/>
    <s v="Accessories"/>
    <s v="Wireless Mouse"/>
    <n v="13835"/>
    <n v="8"/>
    <s v="10%"/>
    <n v="2470.62"/>
    <x v="2"/>
    <x v="0"/>
  </r>
  <r>
    <s v="ORD1445"/>
    <d v="2025-10-13T00:00:00"/>
    <s v="Arjun Rana"/>
    <x v="2"/>
    <s v="Kerala"/>
    <s v="Furniture"/>
    <s v="Bookcase"/>
    <s v="Wooden Bookcase"/>
    <n v="30738"/>
    <n v="4"/>
    <s v="5%"/>
    <n v="7440.59"/>
    <x v="10"/>
    <x v="0"/>
  </r>
  <r>
    <s v="ORD1446"/>
    <d v="2025-09-22T00:00:00"/>
    <s v="Simran Kaur"/>
    <x v="1"/>
    <s v="Odisha"/>
    <s v="Office Supplies"/>
    <s v="Paper"/>
    <s v="A4 Paper Pack"/>
    <n v="39957"/>
    <n v="6"/>
    <s v="20%"/>
    <n v="3254.11"/>
    <x v="5"/>
    <x v="0"/>
  </r>
  <r>
    <s v="ORD1447"/>
    <d v="2025-05-17T00:00:00"/>
    <s v="Sneha Joshi"/>
    <x v="0"/>
    <s v="Punjab"/>
    <s v="Office Supplies"/>
    <s v="Pen"/>
    <s v="Gel Pen Set"/>
    <n v="27361"/>
    <n v="4"/>
    <s v="0%"/>
    <n v="2821.62"/>
    <x v="3"/>
    <x v="0"/>
  </r>
  <r>
    <s v="ORD1448"/>
    <d v="2025-11-02T00:00:00"/>
    <s v="Arjun Rana"/>
    <x v="2"/>
    <s v="Tamil Nadu"/>
    <s v="Office Supplies"/>
    <s v="Binder"/>
    <s v="A4 Binder"/>
    <n v="54498"/>
    <n v="1"/>
    <s v="15%"/>
    <n v="5212.68"/>
    <x v="1"/>
    <x v="0"/>
  </r>
  <r>
    <s v="ORD1449"/>
    <d v="2025-01-30T00:00:00"/>
    <s v="Amit Kumar"/>
    <x v="1"/>
    <s v="West Bengal"/>
    <s v="Furniture"/>
    <s v="Chair"/>
    <s v="Office Chair"/>
    <n v="26442"/>
    <n v="3"/>
    <s v="20%"/>
    <n v="5997.64"/>
    <x v="8"/>
    <x v="0"/>
  </r>
  <r>
    <s v="ORD1450"/>
    <d v="2025-04-21T00:00:00"/>
    <s v="Priya Verma"/>
    <x v="2"/>
    <s v="Karnataka"/>
    <s v="Office Supplies"/>
    <s v="Binder"/>
    <s v="A4 Binder"/>
    <n v="3406"/>
    <n v="5"/>
    <s v="0%"/>
    <n v="932.98"/>
    <x v="0"/>
    <x v="0"/>
  </r>
  <r>
    <s v="ORD1451"/>
    <d v="2025-02-06T00:00:00"/>
    <s v="Rahul Sharma"/>
    <x v="3"/>
    <s v="Maharashtra"/>
    <s v="Furniture"/>
    <s v="Table"/>
    <s v="Study Table"/>
    <n v="8323"/>
    <n v="8"/>
    <s v="0%"/>
    <n v="2243.86"/>
    <x v="11"/>
    <x v="0"/>
  </r>
  <r>
    <s v="ORD1452"/>
    <d v="2025-03-07T00:00:00"/>
    <s v="Arjun Rana"/>
    <x v="1"/>
    <s v="Bihar"/>
    <s v="Technology"/>
    <s v="Accessories"/>
    <s v="Wireless Mouse"/>
    <n v="73888"/>
    <n v="2"/>
    <s v="0%"/>
    <n v="11969.79"/>
    <x v="6"/>
    <x v="0"/>
  </r>
  <r>
    <s v="ORD1453"/>
    <d v="2025-07-04T00:00:00"/>
    <s v="Amit Kumar"/>
    <x v="3"/>
    <s v="Gujarat"/>
    <s v="Furniture"/>
    <s v="Chair"/>
    <s v="Office Chair"/>
    <n v="75407"/>
    <n v="3"/>
    <s v="15%"/>
    <n v="17012.28"/>
    <x v="4"/>
    <x v="0"/>
  </r>
  <r>
    <s v="ORD1454"/>
    <d v="2025-05-16T00:00:00"/>
    <s v="Amit Kumar"/>
    <x v="3"/>
    <s v="Gujarat"/>
    <s v="Technology"/>
    <s v="Laptop"/>
    <s v="HP Pavilion"/>
    <n v="44751"/>
    <n v="7"/>
    <s v="10%"/>
    <n v="3680.34"/>
    <x v="3"/>
    <x v="0"/>
  </r>
  <r>
    <s v="ORD1455"/>
    <d v="2025-01-20T00:00:00"/>
    <s v="Amit Kumar"/>
    <x v="3"/>
    <s v="Rajasthan"/>
    <s v="Technology"/>
    <s v="Accessories"/>
    <s v="Wireless Mouse"/>
    <n v="55870"/>
    <n v="1"/>
    <s v="15%"/>
    <n v="10394.91"/>
    <x v="8"/>
    <x v="0"/>
  </r>
  <r>
    <s v="ORD1456"/>
    <d v="2025-03-06T00:00:00"/>
    <s v="Simran Kaur"/>
    <x v="1"/>
    <s v="Bihar"/>
    <s v="Office Supplies"/>
    <s v="Binder"/>
    <s v="A4 Binder"/>
    <n v="2948"/>
    <n v="6"/>
    <s v="0%"/>
    <n v="517.42999999999995"/>
    <x v="6"/>
    <x v="0"/>
  </r>
  <r>
    <s v="ORD1457"/>
    <d v="2025-06-16T00:00:00"/>
    <s v="Arjun Rana"/>
    <x v="1"/>
    <s v="Odisha"/>
    <s v="Office Supplies"/>
    <s v="Binder"/>
    <s v="A4 Binder"/>
    <n v="29785"/>
    <n v="8"/>
    <s v="5%"/>
    <n v="7691.15"/>
    <x v="9"/>
    <x v="0"/>
  </r>
  <r>
    <s v="ORD1458"/>
    <d v="2025-08-11T00:00:00"/>
    <s v="Arjun Rana"/>
    <x v="2"/>
    <s v="Karnataka"/>
    <s v="Technology"/>
    <s v="Laptop"/>
    <s v="HP Pavilion"/>
    <n v="35798"/>
    <n v="1"/>
    <s v="0%"/>
    <n v="6732.47"/>
    <x v="2"/>
    <x v="0"/>
  </r>
  <r>
    <s v="ORD1459"/>
    <d v="2025-02-15T00:00:00"/>
    <s v="Arjun Rana"/>
    <x v="1"/>
    <s v="Odisha"/>
    <s v="Furniture"/>
    <s v="Chair"/>
    <s v="Office Chair"/>
    <n v="55992"/>
    <n v="10"/>
    <s v="0%"/>
    <n v="15123.16"/>
    <x v="11"/>
    <x v="0"/>
  </r>
  <r>
    <s v="ORD1460"/>
    <d v="2025-05-16T00:00:00"/>
    <s v="Rohit Gupta"/>
    <x v="2"/>
    <s v="Kerala"/>
    <s v="Furniture"/>
    <s v="Table"/>
    <s v="Study Table"/>
    <n v="22741"/>
    <n v="8"/>
    <s v="0%"/>
    <n v="4116.13"/>
    <x v="3"/>
    <x v="0"/>
  </r>
  <r>
    <s v="ORD1461"/>
    <d v="2025-01-17T00:00:00"/>
    <s v="Simran Kaur"/>
    <x v="1"/>
    <s v="West Bengal"/>
    <s v="Technology"/>
    <s v="Laptop"/>
    <s v="HP Pavilion"/>
    <n v="22963"/>
    <n v="10"/>
    <s v="10%"/>
    <n v="4538.29"/>
    <x v="8"/>
    <x v="0"/>
  </r>
  <r>
    <s v="ORD1462"/>
    <d v="2025-07-11T00:00:00"/>
    <s v="Neha Singh"/>
    <x v="0"/>
    <s v="Punjab"/>
    <s v="Furniture"/>
    <s v="Table"/>
    <s v="Study Table"/>
    <n v="57948"/>
    <n v="6"/>
    <s v="20%"/>
    <n v="5623.33"/>
    <x v="4"/>
    <x v="0"/>
  </r>
  <r>
    <s v="ORD1463"/>
    <d v="2025-04-14T00:00:00"/>
    <s v="Anjali Mehta"/>
    <x v="0"/>
    <s v="Delhi"/>
    <s v="Furniture"/>
    <s v="Chair"/>
    <s v="Office Chair"/>
    <n v="64148"/>
    <n v="5"/>
    <s v="20%"/>
    <n v="11424.44"/>
    <x v="0"/>
    <x v="0"/>
  </r>
  <r>
    <s v="ORD1464"/>
    <d v="2025-11-18T00:00:00"/>
    <s v="Rohit Gupta"/>
    <x v="2"/>
    <s v="Tamil Nadu"/>
    <s v="Furniture"/>
    <s v="Table"/>
    <s v="Study Table"/>
    <n v="38637"/>
    <n v="4"/>
    <s v="0%"/>
    <n v="4626.6899999999996"/>
    <x v="1"/>
    <x v="0"/>
  </r>
  <r>
    <s v="ORD1465"/>
    <d v="2025-01-28T00:00:00"/>
    <s v="Karan Patel"/>
    <x v="0"/>
    <s v="Delhi"/>
    <s v="Office Supplies"/>
    <s v="Paper"/>
    <s v="A4 Paper Pack"/>
    <n v="1693"/>
    <n v="1"/>
    <s v="20%"/>
    <n v="137.66"/>
    <x v="8"/>
    <x v="0"/>
  </r>
  <r>
    <s v="ORD1466"/>
    <d v="2025-08-24T00:00:00"/>
    <s v="Karan Patel"/>
    <x v="0"/>
    <s v="Punjab"/>
    <s v="Technology"/>
    <s v="Mobile"/>
    <s v="Samsung Galaxy"/>
    <n v="43436"/>
    <n v="2"/>
    <s v="15%"/>
    <n v="4503.67"/>
    <x v="2"/>
    <x v="0"/>
  </r>
  <r>
    <s v="ORD1467"/>
    <d v="2025-04-20T00:00:00"/>
    <s v="Karan Patel"/>
    <x v="3"/>
    <s v="Maharashtra"/>
    <s v="Furniture"/>
    <s v="Table"/>
    <s v="Study Table"/>
    <n v="46784"/>
    <n v="10"/>
    <s v="10%"/>
    <n v="4813.49"/>
    <x v="0"/>
    <x v="0"/>
  </r>
  <r>
    <s v="ORD1468"/>
    <d v="2025-12-05T00:00:00"/>
    <s v="Priya Verma"/>
    <x v="0"/>
    <s v="Punjab"/>
    <s v="Furniture"/>
    <s v="Table"/>
    <s v="Study Table"/>
    <n v="45621"/>
    <n v="9"/>
    <s v="15%"/>
    <n v="3189.76"/>
    <x v="7"/>
    <x v="0"/>
  </r>
  <r>
    <s v="ORD1469"/>
    <d v="2025-03-17T00:00:00"/>
    <s v="Simran Kaur"/>
    <x v="0"/>
    <s v="Haryana"/>
    <s v="Technology"/>
    <s v="Accessories"/>
    <s v="Wireless Mouse"/>
    <n v="20838"/>
    <n v="8"/>
    <s v="10%"/>
    <n v="3822.14"/>
    <x v="6"/>
    <x v="0"/>
  </r>
  <r>
    <s v="ORD1470"/>
    <d v="2025-06-19T00:00:00"/>
    <s v="Rohit Gupta"/>
    <x v="3"/>
    <s v="Gujarat"/>
    <s v="Office Supplies"/>
    <s v="Binder"/>
    <s v="A4 Binder"/>
    <n v="42147"/>
    <n v="6"/>
    <s v="0%"/>
    <n v="9509.75"/>
    <x v="9"/>
    <x v="0"/>
  </r>
  <r>
    <s v="ORD1471"/>
    <d v="2025-11-28T00:00:00"/>
    <s v="Rahul Sharma"/>
    <x v="1"/>
    <s v="Odisha"/>
    <s v="Technology"/>
    <s v="Accessories"/>
    <s v="Wireless Mouse"/>
    <n v="12519"/>
    <n v="4"/>
    <s v="10%"/>
    <n v="3123.92"/>
    <x v="1"/>
    <x v="0"/>
  </r>
  <r>
    <s v="ORD1472"/>
    <d v="2025-02-11T00:00:00"/>
    <s v="Arjun Rana"/>
    <x v="2"/>
    <s v="Kerala"/>
    <s v="Furniture"/>
    <s v="Chair"/>
    <s v="Office Chair"/>
    <n v="29946"/>
    <n v="8"/>
    <s v="5%"/>
    <n v="4740.74"/>
    <x v="11"/>
    <x v="0"/>
  </r>
  <r>
    <s v="ORD1473"/>
    <d v="2025-11-17T00:00:00"/>
    <s v="Rohit Gupta"/>
    <x v="3"/>
    <s v="Gujarat"/>
    <s v="Technology"/>
    <s v="Mobile"/>
    <s v="Samsung Galaxy"/>
    <n v="7492"/>
    <n v="4"/>
    <s v="15%"/>
    <n v="1951.08"/>
    <x v="1"/>
    <x v="0"/>
  </r>
  <r>
    <s v="ORD1474"/>
    <d v="2025-01-24T00:00:00"/>
    <s v="Arjun Rana"/>
    <x v="0"/>
    <s v="Punjab"/>
    <s v="Office Supplies"/>
    <s v="Pen"/>
    <s v="Gel Pen Set"/>
    <n v="70322"/>
    <n v="7"/>
    <s v="15%"/>
    <n v="7760.78"/>
    <x v="8"/>
    <x v="0"/>
  </r>
  <r>
    <s v="ORD1475"/>
    <d v="2025-10-12T00:00:00"/>
    <s v="Karan Patel"/>
    <x v="3"/>
    <s v="Gujarat"/>
    <s v="Furniture"/>
    <s v="Bookcase"/>
    <s v="Wooden Bookcase"/>
    <n v="53520"/>
    <n v="10"/>
    <s v="10%"/>
    <n v="10308.89"/>
    <x v="10"/>
    <x v="0"/>
  </r>
  <r>
    <s v="ORD1476"/>
    <d v="2025-11-19T00:00:00"/>
    <s v="Simran Kaur"/>
    <x v="2"/>
    <s v="Karnataka"/>
    <s v="Office Supplies"/>
    <s v="Paper"/>
    <s v="A4 Paper Pack"/>
    <n v="16318"/>
    <n v="6"/>
    <s v="15%"/>
    <n v="1319.44"/>
    <x v="1"/>
    <x v="0"/>
  </r>
  <r>
    <s v="ORD1477"/>
    <d v="2025-08-17T00:00:00"/>
    <s v="Rohit Gupta"/>
    <x v="3"/>
    <s v="Rajasthan"/>
    <s v="Furniture"/>
    <s v="Chair"/>
    <s v="Office Chair"/>
    <n v="71982"/>
    <n v="9"/>
    <s v="10%"/>
    <n v="12324.02"/>
    <x v="2"/>
    <x v="0"/>
  </r>
  <r>
    <s v="ORD1478"/>
    <d v="2025-09-14T00:00:00"/>
    <s v="Neha Singh"/>
    <x v="3"/>
    <s v="Maharashtra"/>
    <s v="Technology"/>
    <s v="Mobile"/>
    <s v="Samsung Galaxy"/>
    <n v="39301"/>
    <n v="4"/>
    <s v="5%"/>
    <n v="10787.49"/>
    <x v="5"/>
    <x v="0"/>
  </r>
  <r>
    <s v="ORD1479"/>
    <d v="2025-08-16T00:00:00"/>
    <s v="Karan Patel"/>
    <x v="3"/>
    <s v="Rajasthan"/>
    <s v="Office Supplies"/>
    <s v="Paper"/>
    <s v="A4 Paper Pack"/>
    <n v="8061"/>
    <n v="3"/>
    <s v="0%"/>
    <n v="1896.22"/>
    <x v="2"/>
    <x v="0"/>
  </r>
  <r>
    <s v="ORD1480"/>
    <d v="2025-04-28T00:00:00"/>
    <s v="Rahul Sharma"/>
    <x v="0"/>
    <s v="Punjab"/>
    <s v="Office Supplies"/>
    <s v="Binder"/>
    <s v="A4 Binder"/>
    <n v="30593"/>
    <n v="2"/>
    <s v="5%"/>
    <n v="3070.74"/>
    <x v="0"/>
    <x v="0"/>
  </r>
  <r>
    <s v="ORD1481"/>
    <d v="2025-01-04T00:00:00"/>
    <s v="Rahul Sharma"/>
    <x v="1"/>
    <s v="West Bengal"/>
    <s v="Technology"/>
    <s v="Accessories"/>
    <s v="Wireless Mouse"/>
    <n v="47524"/>
    <n v="9"/>
    <s v="10%"/>
    <n v="11829.89"/>
    <x v="8"/>
    <x v="0"/>
  </r>
  <r>
    <s v="ORD1482"/>
    <d v="2025-05-14T00:00:00"/>
    <s v="Rohit Gupta"/>
    <x v="3"/>
    <s v="Maharashtra"/>
    <s v="Technology"/>
    <s v="Accessories"/>
    <s v="Wireless Mouse"/>
    <n v="36055"/>
    <n v="4"/>
    <s v="10%"/>
    <n v="7295.79"/>
    <x v="3"/>
    <x v="0"/>
  </r>
  <r>
    <s v="ORD1483"/>
    <d v="2025-04-10T00:00:00"/>
    <s v="Priya Verma"/>
    <x v="1"/>
    <s v="Odisha"/>
    <s v="Furniture"/>
    <s v="Bookcase"/>
    <s v="Wooden Bookcase"/>
    <n v="69401"/>
    <n v="6"/>
    <s v="5%"/>
    <n v="13595.2"/>
    <x v="0"/>
    <x v="0"/>
  </r>
  <r>
    <s v="ORD1484"/>
    <d v="2025-08-29T00:00:00"/>
    <s v="Simran Kaur"/>
    <x v="1"/>
    <s v="Odisha"/>
    <s v="Office Supplies"/>
    <s v="Pen"/>
    <s v="Gel Pen Set"/>
    <n v="21083"/>
    <n v="1"/>
    <s v="10%"/>
    <n v="3325.05"/>
    <x v="2"/>
    <x v="0"/>
  </r>
  <r>
    <s v="ORD1485"/>
    <d v="2025-12-11T00:00:00"/>
    <s v="Simran Kaur"/>
    <x v="2"/>
    <s v="Kerala"/>
    <s v="Furniture"/>
    <s v="Chair"/>
    <s v="Office Chair"/>
    <n v="78737"/>
    <n v="7"/>
    <s v="5%"/>
    <n v="15840.79"/>
    <x v="7"/>
    <x v="0"/>
  </r>
  <r>
    <s v="ORD1486"/>
    <d v="2025-12-04T00:00:00"/>
    <s v="Rahul Sharma"/>
    <x v="1"/>
    <s v="West Bengal"/>
    <s v="Technology"/>
    <s v="Accessories"/>
    <s v="Wireless Mouse"/>
    <n v="61094"/>
    <n v="3"/>
    <s v="5%"/>
    <n v="13711.62"/>
    <x v="7"/>
    <x v="0"/>
  </r>
  <r>
    <s v="ORD1487"/>
    <d v="2025-11-12T00:00:00"/>
    <s v="Anjali Mehta"/>
    <x v="0"/>
    <s v="Punjab"/>
    <s v="Technology"/>
    <s v="Accessories"/>
    <s v="Wireless Mouse"/>
    <n v="75311"/>
    <n v="4"/>
    <s v="15%"/>
    <n v="5596.17"/>
    <x v="1"/>
    <x v="0"/>
  </r>
  <r>
    <s v="ORD1488"/>
    <d v="2025-02-19T00:00:00"/>
    <s v="Karan Patel"/>
    <x v="0"/>
    <s v="Delhi"/>
    <s v="Technology"/>
    <s v="Mobile"/>
    <s v="Samsung Galaxy"/>
    <n v="75776"/>
    <n v="5"/>
    <s v="20%"/>
    <n v="10785.11"/>
    <x v="11"/>
    <x v="0"/>
  </r>
  <r>
    <s v="ORD1489"/>
    <d v="2025-08-28T00:00:00"/>
    <s v="Arjun Rana"/>
    <x v="3"/>
    <s v="Rajasthan"/>
    <s v="Office Supplies"/>
    <s v="Pen"/>
    <s v="Gel Pen Set"/>
    <n v="28692"/>
    <n v="5"/>
    <s v="5%"/>
    <n v="2475.5300000000002"/>
    <x v="2"/>
    <x v="0"/>
  </r>
  <r>
    <s v="ORD1490"/>
    <d v="2025-05-06T00:00:00"/>
    <s v="Simran Kaur"/>
    <x v="0"/>
    <s v="Haryana"/>
    <s v="Furniture"/>
    <s v="Table"/>
    <s v="Study Table"/>
    <n v="7417"/>
    <n v="4"/>
    <s v="0%"/>
    <n v="1241.1500000000001"/>
    <x v="3"/>
    <x v="0"/>
  </r>
  <r>
    <s v="ORD1491"/>
    <d v="2025-03-20T00:00:00"/>
    <s v="Sneha Joshi"/>
    <x v="2"/>
    <s v="Karnataka"/>
    <s v="Furniture"/>
    <s v="Chair"/>
    <s v="Office Chair"/>
    <n v="77728"/>
    <n v="7"/>
    <s v="5%"/>
    <n v="8675.18"/>
    <x v="6"/>
    <x v="0"/>
  </r>
  <r>
    <s v="ORD1492"/>
    <d v="2025-02-22T00:00:00"/>
    <s v="Sneha Joshi"/>
    <x v="0"/>
    <s v="Delhi"/>
    <s v="Office Supplies"/>
    <s v="Binder"/>
    <s v="A4 Binder"/>
    <n v="38390"/>
    <n v="1"/>
    <s v="5%"/>
    <n v="6061.36"/>
    <x v="11"/>
    <x v="0"/>
  </r>
  <r>
    <s v="ORD1493"/>
    <d v="2025-02-06T00:00:00"/>
    <s v="Anjali Mehta"/>
    <x v="1"/>
    <s v="Bihar"/>
    <s v="Furniture"/>
    <s v="Chair"/>
    <s v="Office Chair"/>
    <n v="62958"/>
    <n v="5"/>
    <s v="20%"/>
    <n v="15239.82"/>
    <x v="11"/>
    <x v="0"/>
  </r>
  <r>
    <s v="ORD1494"/>
    <d v="2025-06-12T00:00:00"/>
    <s v="Simran Kaur"/>
    <x v="1"/>
    <s v="Bihar"/>
    <s v="Furniture"/>
    <s v="Bookcase"/>
    <s v="Wooden Bookcase"/>
    <n v="20508"/>
    <n v="4"/>
    <s v="5%"/>
    <n v="3398.08"/>
    <x v="9"/>
    <x v="0"/>
  </r>
  <r>
    <s v="ORD1495"/>
    <d v="2025-10-03T00:00:00"/>
    <s v="Arjun Rana"/>
    <x v="3"/>
    <s v="Maharashtra"/>
    <s v="Furniture"/>
    <s v="Table"/>
    <s v="Study Table"/>
    <n v="56231"/>
    <n v="9"/>
    <s v="20%"/>
    <n v="12488.82"/>
    <x v="10"/>
    <x v="0"/>
  </r>
  <r>
    <s v="ORD1496"/>
    <d v="2025-11-16T00:00:00"/>
    <s v="Simran Kaur"/>
    <x v="0"/>
    <s v="Delhi"/>
    <s v="Office Supplies"/>
    <s v="Pen"/>
    <s v="Gel Pen Set"/>
    <n v="78300"/>
    <n v="4"/>
    <s v="15%"/>
    <n v="17824.96"/>
    <x v="1"/>
    <x v="0"/>
  </r>
  <r>
    <s v="ORD1497"/>
    <d v="2025-08-04T00:00:00"/>
    <s v="Rohit Gupta"/>
    <x v="0"/>
    <s v="Haryana"/>
    <s v="Technology"/>
    <s v="Accessories"/>
    <s v="Wireless Mouse"/>
    <n v="62658"/>
    <n v="8"/>
    <s v="5%"/>
    <n v="7186.98"/>
    <x v="2"/>
    <x v="0"/>
  </r>
  <r>
    <s v="ORD1498"/>
    <d v="2025-11-20T00:00:00"/>
    <s v="Rohit Gupta"/>
    <x v="3"/>
    <s v="Maharashtra"/>
    <s v="Furniture"/>
    <s v="Chair"/>
    <s v="Office Chair"/>
    <n v="35143"/>
    <n v="5"/>
    <s v="5%"/>
    <n v="4568.49"/>
    <x v="1"/>
    <x v="0"/>
  </r>
  <r>
    <s v="ORD1499"/>
    <d v="2025-08-15T00:00:00"/>
    <s v="Anjali Mehta"/>
    <x v="0"/>
    <s v="Delhi"/>
    <s v="Technology"/>
    <s v="Accessories"/>
    <s v="Wireless Mouse"/>
    <n v="59045"/>
    <n v="7"/>
    <s v="10%"/>
    <n v="7771.73"/>
    <x v="2"/>
    <x v="0"/>
  </r>
  <r>
    <s v="ORD1500"/>
    <d v="2025-05-11T00:00:00"/>
    <s v="Karan Patel"/>
    <x v="2"/>
    <s v="Tamil Nadu"/>
    <s v="Office Supplies"/>
    <s v="Paper"/>
    <s v="A4 Paper Pack"/>
    <n v="23405"/>
    <n v="9"/>
    <s v="10%"/>
    <n v="3120.77"/>
    <x v="3"/>
    <x v="0"/>
  </r>
  <r>
    <s v="ORD1501"/>
    <d v="2025-02-03T00:00:00"/>
    <s v="Rohit Gupta"/>
    <x v="1"/>
    <s v="West Bengal"/>
    <s v="Furniture"/>
    <s v="Bookcase"/>
    <s v="Wooden Bookcase"/>
    <n v="59700"/>
    <n v="6"/>
    <s v="5%"/>
    <n v="11558.52"/>
    <x v="11"/>
    <x v="0"/>
  </r>
  <r>
    <s v="ORD1502"/>
    <d v="2025-04-10T00:00:00"/>
    <s v="Simran Kaur"/>
    <x v="0"/>
    <s v="Punjab"/>
    <s v="Furniture"/>
    <s v="Table"/>
    <s v="Study Table"/>
    <n v="76658"/>
    <n v="5"/>
    <s v="10%"/>
    <n v="13853.8"/>
    <x v="0"/>
    <x v="0"/>
  </r>
  <r>
    <s v="ORD1503"/>
    <d v="2025-03-07T00:00:00"/>
    <s v="Arjun Rana"/>
    <x v="0"/>
    <s v="Punjab"/>
    <s v="Office Supplies"/>
    <s v="Paper"/>
    <s v="A4 Paper Pack"/>
    <n v="18011"/>
    <n v="2"/>
    <s v="15%"/>
    <n v="1282"/>
    <x v="6"/>
    <x v="0"/>
  </r>
  <r>
    <s v="ORD1504"/>
    <d v="2025-12-26T00:00:00"/>
    <s v="Anjali Mehta"/>
    <x v="3"/>
    <s v="Rajasthan"/>
    <s v="Office Supplies"/>
    <s v="Paper"/>
    <s v="A4 Paper Pack"/>
    <n v="58728"/>
    <n v="1"/>
    <s v="0%"/>
    <n v="8910.57"/>
    <x v="7"/>
    <x v="0"/>
  </r>
  <r>
    <s v="ORD1505"/>
    <d v="2025-04-17T00:00:00"/>
    <s v="Rahul Sharma"/>
    <x v="0"/>
    <s v="Haryana"/>
    <s v="Furniture"/>
    <s v="Chair"/>
    <s v="Office Chair"/>
    <n v="68274"/>
    <n v="9"/>
    <s v="20%"/>
    <n v="15552.39"/>
    <x v="0"/>
    <x v="0"/>
  </r>
  <r>
    <s v="ORD1506"/>
    <d v="2025-10-09T00:00:00"/>
    <s v="Rahul Sharma"/>
    <x v="2"/>
    <s v="Tamil Nadu"/>
    <s v="Technology"/>
    <s v="Mobile"/>
    <s v="Samsung Galaxy"/>
    <n v="77386"/>
    <n v="1"/>
    <s v="20%"/>
    <n v="8808.32"/>
    <x v="10"/>
    <x v="0"/>
  </r>
  <r>
    <s v="ORD1507"/>
    <d v="2025-03-20T00:00:00"/>
    <s v="Neha Singh"/>
    <x v="0"/>
    <s v="Delhi"/>
    <s v="Technology"/>
    <s v="Accessories"/>
    <s v="Wireless Mouse"/>
    <n v="9437"/>
    <n v="9"/>
    <s v="0%"/>
    <n v="2392.6799999999998"/>
    <x v="6"/>
    <x v="0"/>
  </r>
  <r>
    <s v="ORD1508"/>
    <d v="2025-11-21T00:00:00"/>
    <s v="Rohit Gupta"/>
    <x v="2"/>
    <s v="Kerala"/>
    <s v="Office Supplies"/>
    <s v="Paper"/>
    <s v="A4 Paper Pack"/>
    <n v="23188"/>
    <n v="2"/>
    <s v="10%"/>
    <n v="2222.0300000000002"/>
    <x v="1"/>
    <x v="0"/>
  </r>
  <r>
    <s v="ORD1509"/>
    <d v="2025-09-22T00:00:00"/>
    <s v="Rohit Gupta"/>
    <x v="0"/>
    <s v="Haryana"/>
    <s v="Technology"/>
    <s v="Laptop"/>
    <s v="HP Pavilion"/>
    <n v="9564"/>
    <n v="9"/>
    <s v="10%"/>
    <n v="2335.0700000000002"/>
    <x v="5"/>
    <x v="0"/>
  </r>
  <r>
    <s v="ORD1510"/>
    <d v="2025-12-07T00:00:00"/>
    <s v="Neha Singh"/>
    <x v="2"/>
    <s v="Karnataka"/>
    <s v="Office Supplies"/>
    <s v="Paper"/>
    <s v="A4 Paper Pack"/>
    <n v="52161"/>
    <n v="10"/>
    <s v="0%"/>
    <n v="7952.53"/>
    <x v="7"/>
    <x v="0"/>
  </r>
  <r>
    <s v="ORD1511"/>
    <d v="2025-06-02T00:00:00"/>
    <s v="Sneha Joshi"/>
    <x v="3"/>
    <s v="Rajasthan"/>
    <s v="Office Supplies"/>
    <s v="Binder"/>
    <s v="A4 Binder"/>
    <n v="66811"/>
    <n v="8"/>
    <s v="10%"/>
    <n v="6716.73"/>
    <x v="9"/>
    <x v="0"/>
  </r>
  <r>
    <s v="ORD1512"/>
    <d v="2025-03-17T00:00:00"/>
    <s v="Karan Patel"/>
    <x v="2"/>
    <s v="Karnataka"/>
    <s v="Technology"/>
    <s v="Laptop"/>
    <s v="HP Pavilion"/>
    <n v="5621"/>
    <n v="6"/>
    <s v="15%"/>
    <n v="545.17999999999995"/>
    <x v="6"/>
    <x v="0"/>
  </r>
  <r>
    <s v="ORD1513"/>
    <d v="2025-11-23T00:00:00"/>
    <s v="Amit Kumar"/>
    <x v="0"/>
    <s v="Punjab"/>
    <s v="Office Supplies"/>
    <s v="Binder"/>
    <s v="A4 Binder"/>
    <n v="26810"/>
    <n v="1"/>
    <s v="15%"/>
    <n v="3631.34"/>
    <x v="1"/>
    <x v="0"/>
  </r>
  <r>
    <s v="ORD1514"/>
    <d v="2025-09-26T00:00:00"/>
    <s v="Neha Singh"/>
    <x v="2"/>
    <s v="Karnataka"/>
    <s v="Office Supplies"/>
    <s v="Paper"/>
    <s v="A4 Paper Pack"/>
    <n v="41363"/>
    <n v="7"/>
    <s v="0%"/>
    <n v="5605.12"/>
    <x v="5"/>
    <x v="0"/>
  </r>
  <r>
    <s v="ORD1515"/>
    <d v="2025-02-10T00:00:00"/>
    <s v="Rahul Sharma"/>
    <x v="3"/>
    <s v="Maharashtra"/>
    <s v="Furniture"/>
    <s v="Bookcase"/>
    <s v="Wooden Bookcase"/>
    <n v="32313"/>
    <n v="5"/>
    <s v="20%"/>
    <n v="5659.93"/>
    <x v="11"/>
    <x v="0"/>
  </r>
  <r>
    <s v="ORD1516"/>
    <d v="2025-05-24T00:00:00"/>
    <s v="Simran Kaur"/>
    <x v="0"/>
    <s v="Punjab"/>
    <s v="Office Supplies"/>
    <s v="Paper"/>
    <s v="A4 Paper Pack"/>
    <n v="34207"/>
    <n v="5"/>
    <s v="10%"/>
    <n v="7308.82"/>
    <x v="3"/>
    <x v="0"/>
  </r>
  <r>
    <s v="ORD1517"/>
    <d v="2025-03-26T00:00:00"/>
    <s v="Simran Kaur"/>
    <x v="3"/>
    <s v="Rajasthan"/>
    <s v="Office Supplies"/>
    <s v="Paper"/>
    <s v="A4 Paper Pack"/>
    <n v="18973"/>
    <n v="4"/>
    <s v="15%"/>
    <n v="3879.37"/>
    <x v="6"/>
    <x v="0"/>
  </r>
  <r>
    <s v="ORD1518"/>
    <d v="2025-03-02T00:00:00"/>
    <s v="Anjali Mehta"/>
    <x v="0"/>
    <s v="Haryana"/>
    <s v="Technology"/>
    <s v="Accessories"/>
    <s v="Wireless Mouse"/>
    <n v="54663"/>
    <n v="7"/>
    <s v="5%"/>
    <n v="6954.31"/>
    <x v="6"/>
    <x v="0"/>
  </r>
  <r>
    <s v="ORD1519"/>
    <d v="2025-09-16T00:00:00"/>
    <s v="Anjali Mehta"/>
    <x v="3"/>
    <s v="Maharashtra"/>
    <s v="Furniture"/>
    <s v="Bookcase"/>
    <s v="Wooden Bookcase"/>
    <n v="15445"/>
    <n v="5"/>
    <s v="0%"/>
    <n v="2690.86"/>
    <x v="5"/>
    <x v="0"/>
  </r>
  <r>
    <s v="ORD1520"/>
    <d v="2025-07-29T00:00:00"/>
    <s v="Priya Verma"/>
    <x v="3"/>
    <s v="Maharashtra"/>
    <s v="Furniture"/>
    <s v="Table"/>
    <s v="Study Table"/>
    <n v="63138"/>
    <n v="6"/>
    <s v="5%"/>
    <n v="14183.45"/>
    <x v="4"/>
    <x v="0"/>
  </r>
  <r>
    <s v="ORD1521"/>
    <d v="2025-02-08T00:00:00"/>
    <s v="Neha Singh"/>
    <x v="0"/>
    <s v="Delhi"/>
    <s v="Technology"/>
    <s v="Mobile"/>
    <s v="Samsung Galaxy"/>
    <n v="48737"/>
    <n v="10"/>
    <s v="15%"/>
    <n v="3515.81"/>
    <x v="11"/>
    <x v="0"/>
  </r>
  <r>
    <s v="ORD1522"/>
    <d v="2025-05-13T00:00:00"/>
    <s v="Anjali Mehta"/>
    <x v="0"/>
    <s v="Punjab"/>
    <s v="Technology"/>
    <s v="Accessories"/>
    <s v="Wireless Mouse"/>
    <n v="68442"/>
    <n v="9"/>
    <s v="0%"/>
    <n v="17149.310000000001"/>
    <x v="3"/>
    <x v="0"/>
  </r>
  <r>
    <s v="ORD1523"/>
    <d v="2025-10-20T00:00:00"/>
    <s v="Priya Verma"/>
    <x v="1"/>
    <s v="Odisha"/>
    <s v="Office Supplies"/>
    <s v="Pen"/>
    <s v="Gel Pen Set"/>
    <n v="43201"/>
    <n v="3"/>
    <s v="0%"/>
    <n v="5272.8"/>
    <x v="10"/>
    <x v="0"/>
  </r>
  <r>
    <s v="ORD1524"/>
    <d v="2025-01-05T00:00:00"/>
    <s v="Anjali Mehta"/>
    <x v="3"/>
    <s v="Maharashtra"/>
    <s v="Technology"/>
    <s v="Accessories"/>
    <s v="Wireless Mouse"/>
    <n v="79734"/>
    <n v="5"/>
    <s v="0%"/>
    <n v="18129.27"/>
    <x v="8"/>
    <x v="0"/>
  </r>
  <r>
    <s v="ORD1525"/>
    <d v="2025-12-09T00:00:00"/>
    <s v="Rohit Gupta"/>
    <x v="3"/>
    <s v="Maharashtra"/>
    <s v="Technology"/>
    <s v="Laptop"/>
    <s v="HP Pavilion"/>
    <n v="26895"/>
    <n v="7"/>
    <s v="0%"/>
    <n v="3969.34"/>
    <x v="7"/>
    <x v="0"/>
  </r>
  <r>
    <s v="ORD1526"/>
    <d v="2025-09-15T00:00:00"/>
    <s v="Rohit Gupta"/>
    <x v="3"/>
    <s v="Gujarat"/>
    <s v="Furniture"/>
    <s v="Bookcase"/>
    <s v="Wooden Bookcase"/>
    <n v="78224"/>
    <n v="6"/>
    <s v="10%"/>
    <n v="13544.37"/>
    <x v="5"/>
    <x v="0"/>
  </r>
  <r>
    <s v="ORD1527"/>
    <d v="2025-05-06T00:00:00"/>
    <s v="Rahul Sharma"/>
    <x v="3"/>
    <s v="Gujarat"/>
    <s v="Office Supplies"/>
    <s v="Paper"/>
    <s v="A4 Paper Pack"/>
    <n v="31873"/>
    <n v="6"/>
    <s v="10%"/>
    <n v="2274.0300000000002"/>
    <x v="3"/>
    <x v="0"/>
  </r>
  <r>
    <s v="ORD1528"/>
    <d v="2025-01-08T00:00:00"/>
    <s v="Simran Kaur"/>
    <x v="1"/>
    <s v="West Bengal"/>
    <s v="Office Supplies"/>
    <s v="Paper"/>
    <s v="A4 Paper Pack"/>
    <n v="4028"/>
    <n v="4"/>
    <s v="15%"/>
    <n v="979.6"/>
    <x v="8"/>
    <x v="0"/>
  </r>
  <r>
    <s v="ORD1529"/>
    <d v="2025-07-10T00:00:00"/>
    <s v="Rohit Gupta"/>
    <x v="2"/>
    <s v="Kerala"/>
    <s v="Office Supplies"/>
    <s v="Pen"/>
    <s v="Gel Pen Set"/>
    <n v="45166"/>
    <n v="10"/>
    <s v="15%"/>
    <n v="8526.68"/>
    <x v="4"/>
    <x v="0"/>
  </r>
  <r>
    <s v="ORD1530"/>
    <d v="2025-03-14T00:00:00"/>
    <s v="Priya Verma"/>
    <x v="2"/>
    <s v="Karnataka"/>
    <s v="Furniture"/>
    <s v="Table"/>
    <s v="Study Table"/>
    <n v="64666"/>
    <n v="7"/>
    <s v="5%"/>
    <n v="10158.49"/>
    <x v="6"/>
    <x v="0"/>
  </r>
  <r>
    <s v="ORD1531"/>
    <d v="2025-06-12T00:00:00"/>
    <s v="Arjun Rana"/>
    <x v="1"/>
    <s v="Bihar"/>
    <s v="Furniture"/>
    <s v="Bookcase"/>
    <s v="Wooden Bookcase"/>
    <n v="52707"/>
    <n v="6"/>
    <s v="15%"/>
    <n v="10175.200000000001"/>
    <x v="9"/>
    <x v="0"/>
  </r>
  <r>
    <s v="ORD1532"/>
    <d v="2025-05-23T00:00:00"/>
    <s v="Priya Verma"/>
    <x v="2"/>
    <s v="Tamil Nadu"/>
    <s v="Office Supplies"/>
    <s v="Paper"/>
    <s v="A4 Paper Pack"/>
    <n v="20824"/>
    <n v="9"/>
    <s v="10%"/>
    <n v="1805.62"/>
    <x v="3"/>
    <x v="0"/>
  </r>
  <r>
    <s v="ORD1533"/>
    <d v="2025-12-25T00:00:00"/>
    <s v="Priya Verma"/>
    <x v="0"/>
    <s v="Delhi"/>
    <s v="Office Supplies"/>
    <s v="Binder"/>
    <s v="A4 Binder"/>
    <n v="28788"/>
    <n v="4"/>
    <s v="5%"/>
    <n v="4045.7"/>
    <x v="7"/>
    <x v="0"/>
  </r>
  <r>
    <s v="ORD1534"/>
    <d v="2025-01-25T00:00:00"/>
    <s v="Priya Verma"/>
    <x v="1"/>
    <s v="West Bengal"/>
    <s v="Technology"/>
    <s v="Accessories"/>
    <s v="Wireless Mouse"/>
    <n v="75947"/>
    <n v="10"/>
    <s v="0%"/>
    <n v="11663.55"/>
    <x v="8"/>
    <x v="0"/>
  </r>
  <r>
    <s v="ORD1535"/>
    <d v="2025-01-08T00:00:00"/>
    <s v="Karan Patel"/>
    <x v="0"/>
    <s v="Haryana"/>
    <s v="Office Supplies"/>
    <s v="Binder"/>
    <s v="A4 Binder"/>
    <n v="51390"/>
    <n v="10"/>
    <s v="15%"/>
    <n v="13599.94"/>
    <x v="8"/>
    <x v="0"/>
  </r>
  <r>
    <s v="ORD1536"/>
    <d v="2025-11-02T00:00:00"/>
    <s v="Rahul Sharma"/>
    <x v="2"/>
    <s v="Karnataka"/>
    <s v="Office Supplies"/>
    <s v="Paper"/>
    <s v="A4 Paper Pack"/>
    <n v="40430"/>
    <n v="1"/>
    <s v="15%"/>
    <n v="8402.76"/>
    <x v="1"/>
    <x v="0"/>
  </r>
  <r>
    <s v="ORD1537"/>
    <d v="2025-01-17T00:00:00"/>
    <s v="Priya Verma"/>
    <x v="2"/>
    <s v="Karnataka"/>
    <s v="Technology"/>
    <s v="Laptop"/>
    <s v="HP Pavilion"/>
    <n v="26833"/>
    <n v="8"/>
    <s v="5%"/>
    <n v="5147.4399999999996"/>
    <x v="8"/>
    <x v="0"/>
  </r>
  <r>
    <s v="ORD1538"/>
    <d v="2025-03-19T00:00:00"/>
    <s v="Arjun Rana"/>
    <x v="1"/>
    <s v="Bihar"/>
    <s v="Technology"/>
    <s v="Accessories"/>
    <s v="Wireless Mouse"/>
    <n v="79185"/>
    <n v="5"/>
    <s v="10%"/>
    <n v="9566.93"/>
    <x v="6"/>
    <x v="0"/>
  </r>
  <r>
    <s v="ORD1539"/>
    <d v="2025-07-06T00:00:00"/>
    <s v="Amit Kumar"/>
    <x v="0"/>
    <s v="Delhi"/>
    <s v="Technology"/>
    <s v="Mobile"/>
    <s v="Samsung Galaxy"/>
    <n v="30249"/>
    <n v="2"/>
    <s v="0%"/>
    <n v="8343.1299999999992"/>
    <x v="4"/>
    <x v="0"/>
  </r>
  <r>
    <s v="ORD1540"/>
    <d v="2025-04-14T00:00:00"/>
    <s v="Priya Verma"/>
    <x v="0"/>
    <s v="Haryana"/>
    <s v="Technology"/>
    <s v="Laptop"/>
    <s v="HP Pavilion"/>
    <n v="54609"/>
    <n v="6"/>
    <s v="10%"/>
    <n v="6189.62"/>
    <x v="0"/>
    <x v="0"/>
  </r>
  <r>
    <s v="ORD1541"/>
    <d v="2025-11-20T00:00:00"/>
    <s v="Karan Patel"/>
    <x v="2"/>
    <s v="Kerala"/>
    <s v="Furniture"/>
    <s v="Table"/>
    <s v="Study Table"/>
    <n v="4505"/>
    <n v="4"/>
    <s v="15%"/>
    <n v="699.03"/>
    <x v="1"/>
    <x v="0"/>
  </r>
  <r>
    <s v="ORD1542"/>
    <d v="2025-10-08T00:00:00"/>
    <s v="Karan Patel"/>
    <x v="3"/>
    <s v="Maharashtra"/>
    <s v="Technology"/>
    <s v="Mobile"/>
    <s v="Samsung Galaxy"/>
    <n v="36373"/>
    <n v="7"/>
    <s v="0%"/>
    <n v="5092.25"/>
    <x v="10"/>
    <x v="0"/>
  </r>
  <r>
    <s v="ORD1543"/>
    <d v="2025-10-31T00:00:00"/>
    <s v="Priya Verma"/>
    <x v="2"/>
    <s v="Tamil Nadu"/>
    <s v="Furniture"/>
    <s v="Bookcase"/>
    <s v="Wooden Bookcase"/>
    <n v="53466"/>
    <n v="6"/>
    <s v="15%"/>
    <n v="5288"/>
    <x v="10"/>
    <x v="0"/>
  </r>
  <r>
    <s v="ORD1544"/>
    <d v="2025-07-07T00:00:00"/>
    <s v="Priya Verma"/>
    <x v="1"/>
    <s v="Bihar"/>
    <s v="Furniture"/>
    <s v="Table"/>
    <s v="Study Table"/>
    <n v="3183"/>
    <n v="8"/>
    <s v="20%"/>
    <n v="802.12"/>
    <x v="4"/>
    <x v="0"/>
  </r>
  <r>
    <s v="ORD1545"/>
    <d v="2025-01-29T00:00:00"/>
    <s v="Sneha Joshi"/>
    <x v="3"/>
    <s v="Maharashtra"/>
    <s v="Office Supplies"/>
    <s v="Pen"/>
    <s v="Gel Pen Set"/>
    <n v="19515"/>
    <n v="2"/>
    <s v="5%"/>
    <n v="4398.87"/>
    <x v="8"/>
    <x v="0"/>
  </r>
  <r>
    <s v="ORD1546"/>
    <d v="2025-12-09T00:00:00"/>
    <s v="Karan Patel"/>
    <x v="3"/>
    <s v="Gujarat"/>
    <s v="Furniture"/>
    <s v="Table"/>
    <s v="Study Table"/>
    <n v="61548"/>
    <n v="2"/>
    <s v="20%"/>
    <n v="10888.27"/>
    <x v="7"/>
    <x v="0"/>
  </r>
  <r>
    <s v="ORD1547"/>
    <d v="2025-12-07T00:00:00"/>
    <s v="Anjali Mehta"/>
    <x v="3"/>
    <s v="Rajasthan"/>
    <s v="Furniture"/>
    <s v="Bookcase"/>
    <s v="Wooden Bookcase"/>
    <n v="72860"/>
    <n v="4"/>
    <s v="10%"/>
    <n v="8465.1"/>
    <x v="7"/>
    <x v="0"/>
  </r>
  <r>
    <s v="ORD1548"/>
    <d v="2025-01-30T00:00:00"/>
    <s v="Neha Singh"/>
    <x v="3"/>
    <s v="Maharashtra"/>
    <s v="Technology"/>
    <s v="Accessories"/>
    <s v="Wireless Mouse"/>
    <n v="55060"/>
    <n v="4"/>
    <s v="0%"/>
    <n v="11717.91"/>
    <x v="8"/>
    <x v="0"/>
  </r>
  <r>
    <s v="ORD1549"/>
    <d v="2025-07-22T00:00:00"/>
    <s v="Karan Patel"/>
    <x v="3"/>
    <s v="Maharashtra"/>
    <s v="Office Supplies"/>
    <s v="Paper"/>
    <s v="A4 Paper Pack"/>
    <n v="51177"/>
    <n v="5"/>
    <s v="5%"/>
    <n v="7614.21"/>
    <x v="4"/>
    <x v="0"/>
  </r>
  <r>
    <s v="ORD1550"/>
    <d v="2025-01-07T00:00:00"/>
    <s v="Amit Kumar"/>
    <x v="0"/>
    <s v="Delhi"/>
    <s v="Office Supplies"/>
    <s v="Binder"/>
    <s v="A4 Binder"/>
    <n v="9971"/>
    <n v="9"/>
    <s v="5%"/>
    <n v="1058.69"/>
    <x v="8"/>
    <x v="0"/>
  </r>
  <r>
    <s v="ORD1551"/>
    <d v="2025-11-10T00:00:00"/>
    <s v="Amit Kumar"/>
    <x v="0"/>
    <s v="Punjab"/>
    <s v="Furniture"/>
    <s v="Table"/>
    <s v="Study Table"/>
    <n v="10538"/>
    <n v="1"/>
    <s v="10%"/>
    <n v="2491.62"/>
    <x v="1"/>
    <x v="0"/>
  </r>
  <r>
    <s v="ORD1552"/>
    <d v="2025-10-01T00:00:00"/>
    <s v="Neha Singh"/>
    <x v="3"/>
    <s v="Gujarat"/>
    <s v="Office Supplies"/>
    <s v="Binder"/>
    <s v="A4 Binder"/>
    <n v="50238"/>
    <n v="1"/>
    <s v="0%"/>
    <n v="8706"/>
    <x v="10"/>
    <x v="0"/>
  </r>
  <r>
    <s v="ORD1553"/>
    <d v="2025-03-04T00:00:00"/>
    <s v="Rohit Gupta"/>
    <x v="0"/>
    <s v="Haryana"/>
    <s v="Technology"/>
    <s v="Accessories"/>
    <s v="Wireless Mouse"/>
    <n v="62550"/>
    <n v="8"/>
    <s v="20%"/>
    <n v="4004.21"/>
    <x v="6"/>
    <x v="0"/>
  </r>
  <r>
    <s v="ORD1554"/>
    <d v="2025-06-10T00:00:00"/>
    <s v="Neha Singh"/>
    <x v="3"/>
    <s v="Rajasthan"/>
    <s v="Technology"/>
    <s v="Accessories"/>
    <s v="Wireless Mouse"/>
    <n v="16127"/>
    <n v="5"/>
    <s v="0%"/>
    <n v="3574.73"/>
    <x v="9"/>
    <x v="0"/>
  </r>
  <r>
    <s v="ORD1555"/>
    <d v="2025-03-19T00:00:00"/>
    <s v="Simran Kaur"/>
    <x v="2"/>
    <s v="Karnataka"/>
    <s v="Technology"/>
    <s v="Accessories"/>
    <s v="Wireless Mouse"/>
    <n v="60964"/>
    <n v="4"/>
    <s v="15%"/>
    <n v="13619.55"/>
    <x v="6"/>
    <x v="0"/>
  </r>
  <r>
    <s v="ORD1556"/>
    <d v="2025-11-08T00:00:00"/>
    <s v="Amit Kumar"/>
    <x v="0"/>
    <s v="Delhi"/>
    <s v="Office Supplies"/>
    <s v="Paper"/>
    <s v="A4 Paper Pack"/>
    <n v="16906"/>
    <n v="5"/>
    <s v="5%"/>
    <n v="4074.16"/>
    <x v="1"/>
    <x v="0"/>
  </r>
  <r>
    <s v="ORD1557"/>
    <d v="2025-12-15T00:00:00"/>
    <s v="Priya Verma"/>
    <x v="3"/>
    <s v="Maharashtra"/>
    <s v="Furniture"/>
    <s v="Bookcase"/>
    <s v="Wooden Bookcase"/>
    <n v="4755"/>
    <n v="2"/>
    <s v="10%"/>
    <n v="1119.3399999999999"/>
    <x v="7"/>
    <x v="0"/>
  </r>
  <r>
    <s v="ORD1558"/>
    <d v="2025-03-29T00:00:00"/>
    <s v="Priya Verma"/>
    <x v="2"/>
    <s v="Tamil Nadu"/>
    <s v="Office Supplies"/>
    <s v="Paper"/>
    <s v="A4 Paper Pack"/>
    <n v="19124"/>
    <n v="10"/>
    <s v="5%"/>
    <n v="4116.04"/>
    <x v="6"/>
    <x v="0"/>
  </r>
  <r>
    <s v="ORD1559"/>
    <d v="2025-03-03T00:00:00"/>
    <s v="Amit Kumar"/>
    <x v="2"/>
    <s v="Tamil Nadu"/>
    <s v="Technology"/>
    <s v="Accessories"/>
    <s v="Wireless Mouse"/>
    <n v="4373"/>
    <n v="10"/>
    <s v="20%"/>
    <n v="701.14"/>
    <x v="6"/>
    <x v="0"/>
  </r>
  <r>
    <s v="ORD1560"/>
    <d v="2025-11-27T00:00:00"/>
    <s v="Priya Verma"/>
    <x v="0"/>
    <s v="Punjab"/>
    <s v="Furniture"/>
    <s v="Table"/>
    <s v="Study Table"/>
    <n v="55539"/>
    <n v="6"/>
    <s v="0%"/>
    <n v="8601.17"/>
    <x v="1"/>
    <x v="0"/>
  </r>
  <r>
    <s v="ORD1561"/>
    <d v="2025-11-13T00:00:00"/>
    <s v="Karan Patel"/>
    <x v="0"/>
    <s v="Delhi"/>
    <s v="Furniture"/>
    <s v="Chair"/>
    <s v="Office Chair"/>
    <n v="18283"/>
    <n v="7"/>
    <s v="10%"/>
    <n v="3427.13"/>
    <x v="1"/>
    <x v="0"/>
  </r>
  <r>
    <s v="ORD1562"/>
    <d v="2025-08-13T00:00:00"/>
    <s v="Simran Kaur"/>
    <x v="2"/>
    <s v="Tamil Nadu"/>
    <s v="Office Supplies"/>
    <s v="Binder"/>
    <s v="A4 Binder"/>
    <n v="52422"/>
    <n v="4"/>
    <s v="5%"/>
    <n v="8146.85"/>
    <x v="2"/>
    <x v="0"/>
  </r>
  <r>
    <s v="ORD1563"/>
    <d v="2025-04-04T00:00:00"/>
    <s v="Amit Kumar"/>
    <x v="1"/>
    <s v="Odisha"/>
    <s v="Furniture"/>
    <s v="Chair"/>
    <s v="Office Chair"/>
    <n v="70389"/>
    <n v="5"/>
    <s v="0%"/>
    <n v="7619.14"/>
    <x v="0"/>
    <x v="0"/>
  </r>
  <r>
    <s v="ORD1564"/>
    <d v="2025-11-06T00:00:00"/>
    <s v="Simran Kaur"/>
    <x v="2"/>
    <s v="Kerala"/>
    <s v="Office Supplies"/>
    <s v="Binder"/>
    <s v="A4 Binder"/>
    <n v="4782"/>
    <n v="1"/>
    <s v="20%"/>
    <n v="337.36"/>
    <x v="1"/>
    <x v="0"/>
  </r>
  <r>
    <s v="ORD1565"/>
    <d v="2025-08-22T00:00:00"/>
    <s v="Rahul Sharma"/>
    <x v="3"/>
    <s v="Maharashtra"/>
    <s v="Office Supplies"/>
    <s v="Binder"/>
    <s v="A4 Binder"/>
    <n v="42137"/>
    <n v="10"/>
    <s v="0%"/>
    <n v="5537.6"/>
    <x v="2"/>
    <x v="0"/>
  </r>
  <r>
    <s v="ORD1566"/>
    <d v="2025-03-10T00:00:00"/>
    <s v="Sneha Joshi"/>
    <x v="0"/>
    <s v="Punjab"/>
    <s v="Technology"/>
    <s v="Laptop"/>
    <s v="HP Pavilion"/>
    <n v="12472"/>
    <n v="4"/>
    <s v="5%"/>
    <n v="1092.73"/>
    <x v="6"/>
    <x v="0"/>
  </r>
  <r>
    <s v="ORD1567"/>
    <d v="2025-03-26T00:00:00"/>
    <s v="Neha Singh"/>
    <x v="1"/>
    <s v="West Bengal"/>
    <s v="Furniture"/>
    <s v="Chair"/>
    <s v="Office Chair"/>
    <n v="11977"/>
    <n v="10"/>
    <s v="0%"/>
    <n v="1978.81"/>
    <x v="6"/>
    <x v="0"/>
  </r>
  <r>
    <s v="ORD1568"/>
    <d v="2025-10-07T00:00:00"/>
    <s v="Priya Verma"/>
    <x v="3"/>
    <s v="Maharashtra"/>
    <s v="Furniture"/>
    <s v="Bookcase"/>
    <s v="Wooden Bookcase"/>
    <n v="78618"/>
    <n v="1"/>
    <s v="0%"/>
    <n v="18459.689999999999"/>
    <x v="10"/>
    <x v="0"/>
  </r>
  <r>
    <s v="ORD1569"/>
    <d v="2025-10-31T00:00:00"/>
    <s v="Sneha Joshi"/>
    <x v="2"/>
    <s v="Karnataka"/>
    <s v="Technology"/>
    <s v="Accessories"/>
    <s v="Wireless Mouse"/>
    <n v="11565"/>
    <n v="1"/>
    <s v="20%"/>
    <n v="2675.01"/>
    <x v="10"/>
    <x v="0"/>
  </r>
  <r>
    <s v="ORD1570"/>
    <d v="2025-09-03T00:00:00"/>
    <s v="Priya Verma"/>
    <x v="3"/>
    <s v="Rajasthan"/>
    <s v="Office Supplies"/>
    <s v="Binder"/>
    <s v="A4 Binder"/>
    <n v="16237"/>
    <n v="10"/>
    <s v="0%"/>
    <n v="3805.44"/>
    <x v="5"/>
    <x v="0"/>
  </r>
  <r>
    <s v="ORD1571"/>
    <d v="2025-02-15T00:00:00"/>
    <s v="Amit Kumar"/>
    <x v="1"/>
    <s v="West Bengal"/>
    <s v="Furniture"/>
    <s v="Table"/>
    <s v="Study Table"/>
    <n v="74425"/>
    <n v="4"/>
    <s v="0%"/>
    <n v="6849.27"/>
    <x v="11"/>
    <x v="0"/>
  </r>
  <r>
    <s v="ORD1572"/>
    <d v="2025-03-29T00:00:00"/>
    <s v="Amit Kumar"/>
    <x v="3"/>
    <s v="Gujarat"/>
    <s v="Furniture"/>
    <s v="Table"/>
    <s v="Study Table"/>
    <n v="15872"/>
    <n v="7"/>
    <s v="15%"/>
    <n v="2845.55"/>
    <x v="6"/>
    <x v="0"/>
  </r>
  <r>
    <s v="ORD1573"/>
    <d v="2025-05-08T00:00:00"/>
    <s v="Amit Kumar"/>
    <x v="2"/>
    <s v="Tamil Nadu"/>
    <s v="Technology"/>
    <s v="Accessories"/>
    <s v="Wireless Mouse"/>
    <n v="44827"/>
    <n v="8"/>
    <s v="5%"/>
    <n v="6444.12"/>
    <x v="3"/>
    <x v="0"/>
  </r>
  <r>
    <s v="ORD1574"/>
    <d v="2025-12-30T00:00:00"/>
    <s v="Rohit Gupta"/>
    <x v="0"/>
    <s v="Delhi"/>
    <s v="Furniture"/>
    <s v="Table"/>
    <s v="Study Table"/>
    <n v="21104"/>
    <n v="1"/>
    <s v="5%"/>
    <n v="4428.1499999999996"/>
    <x v="7"/>
    <x v="0"/>
  </r>
  <r>
    <s v="ORD1575"/>
    <d v="2025-05-24T00:00:00"/>
    <s v="Simran Kaur"/>
    <x v="3"/>
    <s v="Rajasthan"/>
    <s v="Office Supplies"/>
    <s v="Pen"/>
    <s v="Gel Pen Set"/>
    <n v="27120"/>
    <n v="6"/>
    <s v="10%"/>
    <n v="6077.43"/>
    <x v="3"/>
    <x v="0"/>
  </r>
  <r>
    <s v="ORD1576"/>
    <d v="2025-09-17T00:00:00"/>
    <s v="Priya Verma"/>
    <x v="2"/>
    <s v="Karnataka"/>
    <s v="Office Supplies"/>
    <s v="Binder"/>
    <s v="A4 Binder"/>
    <n v="54725"/>
    <n v="7"/>
    <s v="0%"/>
    <n v="11070.49"/>
    <x v="5"/>
    <x v="0"/>
  </r>
  <r>
    <s v="ORD1577"/>
    <d v="2025-07-14T00:00:00"/>
    <s v="Anjali Mehta"/>
    <x v="2"/>
    <s v="Karnataka"/>
    <s v="Furniture"/>
    <s v="Bookcase"/>
    <s v="Wooden Bookcase"/>
    <n v="10073"/>
    <n v="7"/>
    <s v="0%"/>
    <n v="2647.66"/>
    <x v="4"/>
    <x v="0"/>
  </r>
  <r>
    <s v="ORD1578"/>
    <d v="2025-04-06T00:00:00"/>
    <s v="Rohit Gupta"/>
    <x v="3"/>
    <s v="Maharashtra"/>
    <s v="Furniture"/>
    <s v="Table"/>
    <s v="Study Table"/>
    <n v="77607"/>
    <n v="8"/>
    <s v="5%"/>
    <n v="10916.25"/>
    <x v="0"/>
    <x v="0"/>
  </r>
  <r>
    <s v="ORD1579"/>
    <d v="2025-05-31T00:00:00"/>
    <s v="Neha Singh"/>
    <x v="2"/>
    <s v="Kerala"/>
    <s v="Office Supplies"/>
    <s v="Paper"/>
    <s v="A4 Paper Pack"/>
    <n v="47405"/>
    <n v="4"/>
    <s v="15%"/>
    <n v="4083.72"/>
    <x v="3"/>
    <x v="0"/>
  </r>
  <r>
    <s v="ORD1580"/>
    <d v="2025-12-17T00:00:00"/>
    <s v="Priya Verma"/>
    <x v="1"/>
    <s v="Odisha"/>
    <s v="Technology"/>
    <s v="Accessories"/>
    <s v="Wireless Mouse"/>
    <n v="63745"/>
    <n v="1"/>
    <s v="0%"/>
    <n v="16713.03"/>
    <x v="7"/>
    <x v="0"/>
  </r>
  <r>
    <s v="ORD1581"/>
    <d v="2025-08-14T00:00:00"/>
    <s v="Priya Verma"/>
    <x v="3"/>
    <s v="Gujarat"/>
    <s v="Furniture"/>
    <s v="Table"/>
    <s v="Study Table"/>
    <n v="12101"/>
    <n v="8"/>
    <s v="20%"/>
    <n v="2186.08"/>
    <x v="2"/>
    <x v="0"/>
  </r>
  <r>
    <s v="ORD1582"/>
    <d v="2025-06-18T00:00:00"/>
    <s v="Amit Kumar"/>
    <x v="3"/>
    <s v="Rajasthan"/>
    <s v="Furniture"/>
    <s v="Table"/>
    <s v="Study Table"/>
    <n v="24415"/>
    <n v="2"/>
    <s v="20%"/>
    <n v="6227.5"/>
    <x v="9"/>
    <x v="0"/>
  </r>
  <r>
    <s v="ORD1583"/>
    <d v="2025-08-01T00:00:00"/>
    <s v="Rohit Gupta"/>
    <x v="2"/>
    <s v="Kerala"/>
    <s v="Technology"/>
    <s v="Laptop"/>
    <s v="HP Pavilion"/>
    <n v="51269"/>
    <n v="8"/>
    <s v="5%"/>
    <n v="5572.75"/>
    <x v="2"/>
    <x v="0"/>
  </r>
  <r>
    <s v="ORD1584"/>
    <d v="2025-07-31T00:00:00"/>
    <s v="Rahul Sharma"/>
    <x v="1"/>
    <s v="West Bengal"/>
    <s v="Technology"/>
    <s v="Mobile"/>
    <s v="Samsung Galaxy"/>
    <n v="34522"/>
    <n v="9"/>
    <s v="10%"/>
    <n v="5349.17"/>
    <x v="4"/>
    <x v="0"/>
  </r>
  <r>
    <s v="ORD1585"/>
    <d v="2025-04-08T00:00:00"/>
    <s v="Anjali Mehta"/>
    <x v="1"/>
    <s v="West Bengal"/>
    <s v="Technology"/>
    <s v="Mobile"/>
    <s v="Samsung Galaxy"/>
    <n v="12640"/>
    <n v="7"/>
    <s v="10%"/>
    <n v="1190.9100000000001"/>
    <x v="0"/>
    <x v="0"/>
  </r>
  <r>
    <s v="ORD1586"/>
    <d v="2025-02-04T00:00:00"/>
    <s v="Rahul Sharma"/>
    <x v="3"/>
    <s v="Rajasthan"/>
    <s v="Office Supplies"/>
    <s v="Binder"/>
    <s v="A4 Binder"/>
    <n v="57804"/>
    <n v="6"/>
    <s v="5%"/>
    <n v="13321.55"/>
    <x v="11"/>
    <x v="0"/>
  </r>
  <r>
    <s v="ORD1587"/>
    <d v="2025-05-27T00:00:00"/>
    <s v="Priya Verma"/>
    <x v="1"/>
    <s v="Bihar"/>
    <s v="Technology"/>
    <s v="Mobile"/>
    <s v="Samsung Galaxy"/>
    <n v="17255"/>
    <n v="2"/>
    <s v="0%"/>
    <n v="4408.74"/>
    <x v="3"/>
    <x v="0"/>
  </r>
  <r>
    <s v="ORD1588"/>
    <d v="2025-01-05T00:00:00"/>
    <s v="Rahul Sharma"/>
    <x v="3"/>
    <s v="Maharashtra"/>
    <s v="Furniture"/>
    <s v="Bookcase"/>
    <s v="Wooden Bookcase"/>
    <n v="6779"/>
    <n v="8"/>
    <s v="10%"/>
    <n v="1714.33"/>
    <x v="8"/>
    <x v="0"/>
  </r>
  <r>
    <s v="ORD1589"/>
    <d v="2025-12-18T00:00:00"/>
    <s v="Simran Kaur"/>
    <x v="2"/>
    <s v="Karnataka"/>
    <s v="Technology"/>
    <s v="Mobile"/>
    <s v="Samsung Galaxy"/>
    <n v="23747"/>
    <n v="9"/>
    <s v="0%"/>
    <n v="2572.46"/>
    <x v="7"/>
    <x v="0"/>
  </r>
  <r>
    <s v="ORD1590"/>
    <d v="2025-05-17T00:00:00"/>
    <s v="Anjali Mehta"/>
    <x v="2"/>
    <s v="Tamil Nadu"/>
    <s v="Furniture"/>
    <s v="Bookcase"/>
    <s v="Wooden Bookcase"/>
    <n v="13907"/>
    <n v="3"/>
    <s v="0%"/>
    <n v="3628.69"/>
    <x v="3"/>
    <x v="0"/>
  </r>
  <r>
    <s v="ORD1591"/>
    <d v="2025-11-23T00:00:00"/>
    <s v="Simran Kaur"/>
    <x v="0"/>
    <s v="Haryana"/>
    <s v="Office Supplies"/>
    <s v="Binder"/>
    <s v="A4 Binder"/>
    <n v="18261"/>
    <n v="5"/>
    <s v="20%"/>
    <n v="3512.15"/>
    <x v="1"/>
    <x v="0"/>
  </r>
  <r>
    <s v="ORD1592"/>
    <d v="2025-12-28T00:00:00"/>
    <s v="Simran Kaur"/>
    <x v="2"/>
    <s v="Kerala"/>
    <s v="Furniture"/>
    <s v="Bookcase"/>
    <s v="Wooden Bookcase"/>
    <n v="73896"/>
    <n v="4"/>
    <s v="20%"/>
    <n v="5942.72"/>
    <x v="7"/>
    <x v="0"/>
  </r>
  <r>
    <s v="ORD1593"/>
    <d v="2025-07-30T00:00:00"/>
    <s v="Amit Kumar"/>
    <x v="2"/>
    <s v="Kerala"/>
    <s v="Technology"/>
    <s v="Mobile"/>
    <s v="Samsung Galaxy"/>
    <n v="8723"/>
    <n v="4"/>
    <s v="20%"/>
    <n v="1002.9"/>
    <x v="4"/>
    <x v="0"/>
  </r>
  <r>
    <s v="ORD1594"/>
    <d v="2025-10-28T00:00:00"/>
    <s v="Neha Singh"/>
    <x v="0"/>
    <s v="Haryana"/>
    <s v="Technology"/>
    <s v="Accessories"/>
    <s v="Wireless Mouse"/>
    <n v="72735"/>
    <n v="3"/>
    <s v="20%"/>
    <n v="13125.17"/>
    <x v="10"/>
    <x v="0"/>
  </r>
  <r>
    <s v="ORD1595"/>
    <d v="2025-07-30T00:00:00"/>
    <s v="Amit Kumar"/>
    <x v="3"/>
    <s v="Rajasthan"/>
    <s v="Furniture"/>
    <s v="Bookcase"/>
    <s v="Wooden Bookcase"/>
    <n v="19753"/>
    <n v="3"/>
    <s v="0%"/>
    <n v="3523.72"/>
    <x v="4"/>
    <x v="0"/>
  </r>
  <r>
    <s v="ORD1596"/>
    <d v="2025-01-03T00:00:00"/>
    <s v="Priya Verma"/>
    <x v="1"/>
    <s v="Bihar"/>
    <s v="Office Supplies"/>
    <s v="Paper"/>
    <s v="A4 Paper Pack"/>
    <n v="13118"/>
    <n v="8"/>
    <s v="20%"/>
    <n v="1225.07"/>
    <x v="8"/>
    <x v="0"/>
  </r>
  <r>
    <s v="ORD1597"/>
    <d v="2025-01-25T00:00:00"/>
    <s v="Sneha Joshi"/>
    <x v="3"/>
    <s v="Gujarat"/>
    <s v="Office Supplies"/>
    <s v="Binder"/>
    <s v="A4 Binder"/>
    <n v="19374"/>
    <n v="3"/>
    <s v="20%"/>
    <n v="3925.33"/>
    <x v="8"/>
    <x v="0"/>
  </r>
  <r>
    <s v="ORD1598"/>
    <d v="2025-02-03T00:00:00"/>
    <s v="Simran Kaur"/>
    <x v="0"/>
    <s v="Delhi"/>
    <s v="Furniture"/>
    <s v="Table"/>
    <s v="Study Table"/>
    <n v="33689"/>
    <n v="8"/>
    <s v="10%"/>
    <n v="8125.43"/>
    <x v="11"/>
    <x v="0"/>
  </r>
  <r>
    <s v="ORD1599"/>
    <d v="2025-10-04T00:00:00"/>
    <s v="Priya Verma"/>
    <x v="0"/>
    <s v="Punjab"/>
    <s v="Technology"/>
    <s v="Laptop"/>
    <s v="HP Pavilion"/>
    <n v="8028"/>
    <n v="3"/>
    <s v="15%"/>
    <n v="2076.66"/>
    <x v="10"/>
    <x v="0"/>
  </r>
  <r>
    <s v="ORD1600"/>
    <d v="2025-11-27T00:00:00"/>
    <s v="Sneha Joshi"/>
    <x v="1"/>
    <s v="Bihar"/>
    <s v="Furniture"/>
    <s v="Table"/>
    <s v="Study Table"/>
    <n v="8413"/>
    <n v="3"/>
    <s v="20%"/>
    <n v="999.94"/>
    <x v="1"/>
    <x v="0"/>
  </r>
  <r>
    <s v="ORD1601"/>
    <d v="2025-12-27T00:00:00"/>
    <s v="Rohit Gupta"/>
    <x v="0"/>
    <s v="Punjab"/>
    <s v="Furniture"/>
    <s v="Table"/>
    <s v="Study Table"/>
    <n v="18429"/>
    <n v="2"/>
    <s v="15%"/>
    <n v="1686.02"/>
    <x v="7"/>
    <x v="0"/>
  </r>
  <r>
    <s v="ORD1602"/>
    <d v="2025-01-04T00:00:00"/>
    <s v="Anjali Mehta"/>
    <x v="0"/>
    <s v="Haryana"/>
    <s v="Furniture"/>
    <s v="Chair"/>
    <s v="Office Chair"/>
    <n v="42679"/>
    <n v="1"/>
    <s v="5%"/>
    <n v="10612.62"/>
    <x v="8"/>
    <x v="0"/>
  </r>
  <r>
    <s v="ORD1603"/>
    <d v="2025-12-31T00:00:00"/>
    <s v="Rahul Sharma"/>
    <x v="1"/>
    <s v="Odisha"/>
    <s v="Office Supplies"/>
    <s v="Paper"/>
    <s v="A4 Paper Pack"/>
    <n v="8340"/>
    <n v="4"/>
    <s v="5%"/>
    <n v="2191.39"/>
    <x v="7"/>
    <x v="0"/>
  </r>
  <r>
    <s v="ORD1604"/>
    <d v="2025-04-30T00:00:00"/>
    <s v="Anjali Mehta"/>
    <x v="1"/>
    <s v="Odisha"/>
    <s v="Furniture"/>
    <s v="Table"/>
    <s v="Study Table"/>
    <n v="30958"/>
    <n v="9"/>
    <s v="15%"/>
    <n v="2665.17"/>
    <x v="0"/>
    <x v="0"/>
  </r>
  <r>
    <s v="ORD1605"/>
    <d v="2025-08-07T00:00:00"/>
    <s v="Anjali Mehta"/>
    <x v="0"/>
    <s v="Punjab"/>
    <s v="Technology"/>
    <s v="Mobile"/>
    <s v="Samsung Galaxy"/>
    <n v="19938"/>
    <n v="10"/>
    <s v="5%"/>
    <n v="3509.37"/>
    <x v="2"/>
    <x v="0"/>
  </r>
  <r>
    <s v="ORD1606"/>
    <d v="2025-11-14T00:00:00"/>
    <s v="Rohit Gupta"/>
    <x v="2"/>
    <s v="Karnataka"/>
    <s v="Furniture"/>
    <s v="Table"/>
    <s v="Study Table"/>
    <n v="1358"/>
    <n v="10"/>
    <s v="15%"/>
    <n v="154.08000000000001"/>
    <x v="1"/>
    <x v="0"/>
  </r>
  <r>
    <s v="ORD1607"/>
    <d v="2025-06-05T00:00:00"/>
    <s v="Rahul Sharma"/>
    <x v="0"/>
    <s v="Punjab"/>
    <s v="Office Supplies"/>
    <s v="Binder"/>
    <s v="A4 Binder"/>
    <n v="26051"/>
    <n v="9"/>
    <s v="10%"/>
    <n v="4650.26"/>
    <x v="9"/>
    <x v="0"/>
  </r>
  <r>
    <s v="ORD1608"/>
    <d v="2025-11-20T00:00:00"/>
    <s v="Simran Kaur"/>
    <x v="0"/>
    <s v="Haryana"/>
    <s v="Office Supplies"/>
    <s v="Paper"/>
    <s v="A4 Paper Pack"/>
    <n v="6510"/>
    <n v="1"/>
    <s v="5%"/>
    <n v="1320.01"/>
    <x v="1"/>
    <x v="0"/>
  </r>
  <r>
    <s v="ORD1609"/>
    <d v="2025-09-18T00:00:00"/>
    <s v="Sneha Joshi"/>
    <x v="3"/>
    <s v="Gujarat"/>
    <s v="Office Supplies"/>
    <s v="Pen"/>
    <s v="Gel Pen Set"/>
    <n v="51008"/>
    <n v="10"/>
    <s v="5%"/>
    <n v="11787.06"/>
    <x v="5"/>
    <x v="0"/>
  </r>
  <r>
    <s v="ORD1610"/>
    <d v="2025-01-30T00:00:00"/>
    <s v="Amit Kumar"/>
    <x v="1"/>
    <s v="Odisha"/>
    <s v="Office Supplies"/>
    <s v="Binder"/>
    <s v="A4 Binder"/>
    <n v="33580"/>
    <n v="7"/>
    <s v="5%"/>
    <n v="6622.65"/>
    <x v="8"/>
    <x v="0"/>
  </r>
  <r>
    <s v="ORD1611"/>
    <d v="2025-12-25T00:00:00"/>
    <s v="Anjali Mehta"/>
    <x v="1"/>
    <s v="West Bengal"/>
    <s v="Furniture"/>
    <s v="Bookcase"/>
    <s v="Wooden Bookcase"/>
    <n v="31250"/>
    <n v="4"/>
    <s v="5%"/>
    <n v="5055.0600000000004"/>
    <x v="7"/>
    <x v="0"/>
  </r>
  <r>
    <s v="ORD1612"/>
    <d v="2025-09-22T00:00:00"/>
    <s v="Amit Kumar"/>
    <x v="3"/>
    <s v="Rajasthan"/>
    <s v="Technology"/>
    <s v="Accessories"/>
    <s v="Wireless Mouse"/>
    <n v="4550"/>
    <n v="3"/>
    <s v="20%"/>
    <n v="908.83"/>
    <x v="5"/>
    <x v="0"/>
  </r>
  <r>
    <s v="ORD1613"/>
    <d v="2025-01-18T00:00:00"/>
    <s v="Arjun Rana"/>
    <x v="3"/>
    <s v="Rajasthan"/>
    <s v="Office Supplies"/>
    <s v="Binder"/>
    <s v="A4 Binder"/>
    <n v="14048"/>
    <n v="2"/>
    <s v="15%"/>
    <n v="2080.37"/>
    <x v="8"/>
    <x v="0"/>
  </r>
  <r>
    <s v="ORD1614"/>
    <d v="2025-02-15T00:00:00"/>
    <s v="Simran Kaur"/>
    <x v="3"/>
    <s v="Maharashtra"/>
    <s v="Furniture"/>
    <s v="Chair"/>
    <s v="Office Chair"/>
    <n v="52512"/>
    <n v="3"/>
    <s v="5%"/>
    <n v="12058.25"/>
    <x v="11"/>
    <x v="0"/>
  </r>
  <r>
    <s v="ORD1615"/>
    <d v="2025-09-18T00:00:00"/>
    <s v="Sneha Joshi"/>
    <x v="1"/>
    <s v="Bihar"/>
    <s v="Technology"/>
    <s v="Mobile"/>
    <s v="Samsung Galaxy"/>
    <n v="24546"/>
    <n v="5"/>
    <s v="0%"/>
    <n v="6400.89"/>
    <x v="5"/>
    <x v="0"/>
  </r>
  <r>
    <s v="ORD1616"/>
    <d v="2025-06-29T00:00:00"/>
    <s v="Simran Kaur"/>
    <x v="2"/>
    <s v="Karnataka"/>
    <s v="Office Supplies"/>
    <s v="Pen"/>
    <s v="Gel Pen Set"/>
    <n v="77717"/>
    <n v="3"/>
    <s v="15%"/>
    <n v="15277.87"/>
    <x v="9"/>
    <x v="0"/>
  </r>
  <r>
    <s v="ORD1617"/>
    <d v="2025-12-01T00:00:00"/>
    <s v="Simran Kaur"/>
    <x v="1"/>
    <s v="Bihar"/>
    <s v="Furniture"/>
    <s v="Bookcase"/>
    <s v="Wooden Bookcase"/>
    <n v="26869"/>
    <n v="6"/>
    <s v="15%"/>
    <n v="6667.94"/>
    <x v="7"/>
    <x v="0"/>
  </r>
  <r>
    <s v="ORD1618"/>
    <d v="2025-08-08T00:00:00"/>
    <s v="Karan Patel"/>
    <x v="1"/>
    <s v="Odisha"/>
    <s v="Office Supplies"/>
    <s v="Paper"/>
    <s v="A4 Paper Pack"/>
    <n v="55909"/>
    <n v="7"/>
    <s v="10%"/>
    <n v="7908.21"/>
    <x v="2"/>
    <x v="0"/>
  </r>
  <r>
    <s v="ORD1619"/>
    <d v="2025-09-25T00:00:00"/>
    <s v="Neha Singh"/>
    <x v="1"/>
    <s v="West Bengal"/>
    <s v="Furniture"/>
    <s v="Bookcase"/>
    <s v="Wooden Bookcase"/>
    <n v="2808"/>
    <n v="5"/>
    <s v="5%"/>
    <n v="644.70000000000005"/>
    <x v="5"/>
    <x v="0"/>
  </r>
  <r>
    <s v="ORD1620"/>
    <d v="2025-09-12T00:00:00"/>
    <s v="Karan Patel"/>
    <x v="1"/>
    <s v="Odisha"/>
    <s v="Office Supplies"/>
    <s v="Pen"/>
    <s v="Gel Pen Set"/>
    <n v="618"/>
    <n v="7"/>
    <s v="20%"/>
    <n v="155.19"/>
    <x v="5"/>
    <x v="0"/>
  </r>
  <r>
    <s v="ORD1621"/>
    <d v="2025-05-27T00:00:00"/>
    <s v="Rahul Sharma"/>
    <x v="2"/>
    <s v="Karnataka"/>
    <s v="Office Supplies"/>
    <s v="Binder"/>
    <s v="A4 Binder"/>
    <n v="29454"/>
    <n v="8"/>
    <s v="15%"/>
    <n v="6630.95"/>
    <x v="3"/>
    <x v="0"/>
  </r>
  <r>
    <s v="ORD1622"/>
    <d v="2025-05-19T00:00:00"/>
    <s v="Neha Singh"/>
    <x v="1"/>
    <s v="West Bengal"/>
    <s v="Technology"/>
    <s v="Laptop"/>
    <s v="HP Pavilion"/>
    <n v="53972"/>
    <n v="3"/>
    <s v="15%"/>
    <n v="12202.26"/>
    <x v="3"/>
    <x v="0"/>
  </r>
  <r>
    <s v="ORD1623"/>
    <d v="2025-03-05T00:00:00"/>
    <s v="Neha Singh"/>
    <x v="1"/>
    <s v="West Bengal"/>
    <s v="Furniture"/>
    <s v="Table"/>
    <s v="Study Table"/>
    <n v="75184"/>
    <n v="5"/>
    <s v="15%"/>
    <n v="19478.46"/>
    <x v="6"/>
    <x v="0"/>
  </r>
  <r>
    <s v="ORD1624"/>
    <d v="2025-10-30T00:00:00"/>
    <s v="Neha Singh"/>
    <x v="0"/>
    <s v="Haryana"/>
    <s v="Furniture"/>
    <s v="Bookcase"/>
    <s v="Wooden Bookcase"/>
    <n v="78828"/>
    <n v="6"/>
    <s v="15%"/>
    <n v="12042.79"/>
    <x v="10"/>
    <x v="0"/>
  </r>
  <r>
    <s v="ORD1625"/>
    <d v="2025-06-16T00:00:00"/>
    <s v="Amit Kumar"/>
    <x v="3"/>
    <s v="Maharashtra"/>
    <s v="Technology"/>
    <s v="Mobile"/>
    <s v="Samsung Galaxy"/>
    <n v="47497"/>
    <n v="9"/>
    <s v="0%"/>
    <n v="7523.26"/>
    <x v="9"/>
    <x v="0"/>
  </r>
  <r>
    <s v="ORD1626"/>
    <d v="2025-10-09T00:00:00"/>
    <s v="Anjali Mehta"/>
    <x v="2"/>
    <s v="Tamil Nadu"/>
    <s v="Technology"/>
    <s v="Laptop"/>
    <s v="HP Pavilion"/>
    <n v="70412"/>
    <n v="3"/>
    <s v="20%"/>
    <n v="11054.15"/>
    <x v="10"/>
    <x v="0"/>
  </r>
  <r>
    <s v="ORD1627"/>
    <d v="2025-10-09T00:00:00"/>
    <s v="Priya Verma"/>
    <x v="3"/>
    <s v="Gujarat"/>
    <s v="Furniture"/>
    <s v="Chair"/>
    <s v="Office Chair"/>
    <n v="39641"/>
    <n v="7"/>
    <s v="0%"/>
    <n v="9325.51"/>
    <x v="10"/>
    <x v="0"/>
  </r>
  <r>
    <s v="ORD1628"/>
    <d v="2025-08-23T00:00:00"/>
    <s v="Rohit Gupta"/>
    <x v="0"/>
    <s v="Punjab"/>
    <s v="Office Supplies"/>
    <s v="Pen"/>
    <s v="Gel Pen Set"/>
    <n v="5778"/>
    <n v="1"/>
    <s v="5%"/>
    <n v="601.27"/>
    <x v="2"/>
    <x v="0"/>
  </r>
  <r>
    <s v="ORD1629"/>
    <d v="2025-09-12T00:00:00"/>
    <s v="Rohit Gupta"/>
    <x v="3"/>
    <s v="Gujarat"/>
    <s v="Office Supplies"/>
    <s v="Paper"/>
    <s v="A4 Paper Pack"/>
    <n v="45540"/>
    <n v="4"/>
    <s v="10%"/>
    <n v="11488.21"/>
    <x v="5"/>
    <x v="0"/>
  </r>
  <r>
    <s v="ORD1630"/>
    <d v="2025-10-11T00:00:00"/>
    <s v="Priya Verma"/>
    <x v="1"/>
    <s v="Odisha"/>
    <s v="Furniture"/>
    <s v="Bookcase"/>
    <s v="Wooden Bookcase"/>
    <n v="34763"/>
    <n v="1"/>
    <s v="20%"/>
    <n v="2624.62"/>
    <x v="10"/>
    <x v="0"/>
  </r>
  <r>
    <s v="ORD1631"/>
    <d v="2025-02-24T00:00:00"/>
    <s v="Rahul Sharma"/>
    <x v="3"/>
    <s v="Gujarat"/>
    <s v="Furniture"/>
    <s v="Bookcase"/>
    <s v="Wooden Bookcase"/>
    <n v="53810"/>
    <n v="6"/>
    <s v="10%"/>
    <n v="11538.38"/>
    <x v="11"/>
    <x v="0"/>
  </r>
  <r>
    <s v="ORD1632"/>
    <d v="2025-09-30T00:00:00"/>
    <s v="Amit Kumar"/>
    <x v="3"/>
    <s v="Rajasthan"/>
    <s v="Technology"/>
    <s v="Accessories"/>
    <s v="Wireless Mouse"/>
    <n v="28569"/>
    <n v="6"/>
    <s v="20%"/>
    <n v="3996.09"/>
    <x v="5"/>
    <x v="0"/>
  </r>
  <r>
    <s v="ORD1633"/>
    <d v="2025-03-20T00:00:00"/>
    <s v="Rahul Sharma"/>
    <x v="3"/>
    <s v="Gujarat"/>
    <s v="Technology"/>
    <s v="Laptop"/>
    <s v="HP Pavilion"/>
    <n v="10439"/>
    <n v="5"/>
    <s v="5%"/>
    <n v="1764.05"/>
    <x v="6"/>
    <x v="0"/>
  </r>
  <r>
    <s v="ORD1634"/>
    <d v="2025-12-12T00:00:00"/>
    <s v="Sneha Joshi"/>
    <x v="0"/>
    <s v="Delhi"/>
    <s v="Technology"/>
    <s v="Laptop"/>
    <s v="HP Pavilion"/>
    <n v="51222"/>
    <n v="6"/>
    <s v="0%"/>
    <n v="13672.52"/>
    <x v="7"/>
    <x v="0"/>
  </r>
  <r>
    <s v="ORD1635"/>
    <d v="2025-01-11T00:00:00"/>
    <s v="Simran Kaur"/>
    <x v="0"/>
    <s v="Delhi"/>
    <s v="Furniture"/>
    <s v="Bookcase"/>
    <s v="Wooden Bookcase"/>
    <n v="54590"/>
    <n v="9"/>
    <s v="10%"/>
    <n v="10352.26"/>
    <x v="8"/>
    <x v="0"/>
  </r>
  <r>
    <s v="ORD1636"/>
    <d v="2025-04-27T00:00:00"/>
    <s v="Sneha Joshi"/>
    <x v="0"/>
    <s v="Haryana"/>
    <s v="Technology"/>
    <s v="Mobile"/>
    <s v="Samsung Galaxy"/>
    <n v="16922"/>
    <n v="9"/>
    <s v="5%"/>
    <n v="2773.8"/>
    <x v="0"/>
    <x v="0"/>
  </r>
  <r>
    <s v="ORD1637"/>
    <d v="2025-08-21T00:00:00"/>
    <s v="Priya Verma"/>
    <x v="1"/>
    <s v="West Bengal"/>
    <s v="Office Supplies"/>
    <s v="Binder"/>
    <s v="A4 Binder"/>
    <n v="72186"/>
    <n v="6"/>
    <s v="15%"/>
    <n v="15324.02"/>
    <x v="2"/>
    <x v="0"/>
  </r>
  <r>
    <s v="ORD1638"/>
    <d v="2025-10-28T00:00:00"/>
    <s v="Neha Singh"/>
    <x v="3"/>
    <s v="Maharashtra"/>
    <s v="Office Supplies"/>
    <s v="Paper"/>
    <s v="A4 Paper Pack"/>
    <n v="62163"/>
    <n v="8"/>
    <s v="0%"/>
    <n v="13768.4"/>
    <x v="10"/>
    <x v="0"/>
  </r>
  <r>
    <s v="ORD1639"/>
    <d v="2025-06-05T00:00:00"/>
    <s v="Amit Kumar"/>
    <x v="0"/>
    <s v="Delhi"/>
    <s v="Furniture"/>
    <s v="Table"/>
    <s v="Study Table"/>
    <n v="77966"/>
    <n v="1"/>
    <s v="5%"/>
    <n v="12550.5"/>
    <x v="9"/>
    <x v="0"/>
  </r>
  <r>
    <s v="ORD1640"/>
    <d v="2025-03-06T00:00:00"/>
    <s v="Rohit Gupta"/>
    <x v="3"/>
    <s v="Rajasthan"/>
    <s v="Office Supplies"/>
    <s v="Pen"/>
    <s v="Gel Pen Set"/>
    <n v="10099"/>
    <n v="9"/>
    <s v="15%"/>
    <n v="941.37"/>
    <x v="6"/>
    <x v="0"/>
  </r>
  <r>
    <s v="ORD1641"/>
    <d v="2025-03-21T00:00:00"/>
    <s v="Rahul Sharma"/>
    <x v="2"/>
    <s v="Tamil Nadu"/>
    <s v="Furniture"/>
    <s v="Chair"/>
    <s v="Office Chair"/>
    <n v="48144"/>
    <n v="3"/>
    <s v="20%"/>
    <n v="5120.8999999999996"/>
    <x v="6"/>
    <x v="0"/>
  </r>
  <r>
    <s v="ORD1642"/>
    <d v="2025-03-04T00:00:00"/>
    <s v="Neha Singh"/>
    <x v="1"/>
    <s v="Odisha"/>
    <s v="Technology"/>
    <s v="Laptop"/>
    <s v="HP Pavilion"/>
    <n v="20614"/>
    <n v="3"/>
    <s v="0%"/>
    <n v="4674.57"/>
    <x v="6"/>
    <x v="0"/>
  </r>
  <r>
    <s v="ORD1643"/>
    <d v="2025-05-27T00:00:00"/>
    <s v="Arjun Rana"/>
    <x v="2"/>
    <s v="Kerala"/>
    <s v="Technology"/>
    <s v="Mobile"/>
    <s v="Samsung Galaxy"/>
    <n v="62617"/>
    <n v="2"/>
    <s v="5%"/>
    <n v="15035.34"/>
    <x v="3"/>
    <x v="0"/>
  </r>
  <r>
    <s v="ORD1644"/>
    <d v="2025-10-26T00:00:00"/>
    <s v="Priya Verma"/>
    <x v="2"/>
    <s v="Kerala"/>
    <s v="Office Supplies"/>
    <s v="Pen"/>
    <s v="Gel Pen Set"/>
    <n v="592"/>
    <n v="5"/>
    <s v="0%"/>
    <n v="97.65"/>
    <x v="10"/>
    <x v="0"/>
  </r>
  <r>
    <s v="ORD1645"/>
    <d v="2025-12-12T00:00:00"/>
    <s v="Karan Patel"/>
    <x v="0"/>
    <s v="Delhi"/>
    <s v="Office Supplies"/>
    <s v="Paper"/>
    <s v="A4 Paper Pack"/>
    <n v="4880"/>
    <n v="10"/>
    <s v="0%"/>
    <n v="1336.08"/>
    <x v="7"/>
    <x v="0"/>
  </r>
  <r>
    <s v="ORD1646"/>
    <d v="2025-05-01T00:00:00"/>
    <s v="Sneha Joshi"/>
    <x v="0"/>
    <s v="Punjab"/>
    <s v="Office Supplies"/>
    <s v="Binder"/>
    <s v="A4 Binder"/>
    <n v="7500"/>
    <n v="7"/>
    <s v="10%"/>
    <n v="872.61"/>
    <x v="3"/>
    <x v="0"/>
  </r>
  <r>
    <s v="ORD1647"/>
    <d v="2025-04-16T00:00:00"/>
    <s v="Karan Patel"/>
    <x v="0"/>
    <s v="Haryana"/>
    <s v="Office Supplies"/>
    <s v="Paper"/>
    <s v="A4 Paper Pack"/>
    <n v="67393"/>
    <n v="5"/>
    <s v="10%"/>
    <n v="11293.19"/>
    <x v="0"/>
    <x v="0"/>
  </r>
  <r>
    <s v="ORD1648"/>
    <d v="2025-06-29T00:00:00"/>
    <s v="Rahul Sharma"/>
    <x v="3"/>
    <s v="Maharashtra"/>
    <s v="Furniture"/>
    <s v="Bookcase"/>
    <s v="Wooden Bookcase"/>
    <n v="45618"/>
    <n v="5"/>
    <s v="5%"/>
    <n v="8375.33"/>
    <x v="9"/>
    <x v="0"/>
  </r>
  <r>
    <s v="ORD1649"/>
    <d v="2025-03-16T00:00:00"/>
    <s v="Priya Verma"/>
    <x v="3"/>
    <s v="Gujarat"/>
    <s v="Technology"/>
    <s v="Laptop"/>
    <s v="HP Pavilion"/>
    <n v="937"/>
    <n v="4"/>
    <s v="15%"/>
    <n v="207.82"/>
    <x v="6"/>
    <x v="0"/>
  </r>
  <r>
    <s v="ORD1650"/>
    <d v="2025-06-18T00:00:00"/>
    <s v="Neha Singh"/>
    <x v="3"/>
    <s v="Gujarat"/>
    <s v="Office Supplies"/>
    <s v="Binder"/>
    <s v="A4 Binder"/>
    <n v="31746"/>
    <n v="2"/>
    <s v="15%"/>
    <n v="6368.28"/>
    <x v="9"/>
    <x v="0"/>
  </r>
  <r>
    <s v="ORD1651"/>
    <d v="2025-04-12T00:00:00"/>
    <s v="Priya Verma"/>
    <x v="3"/>
    <s v="Gujarat"/>
    <s v="Office Supplies"/>
    <s v="Pen"/>
    <s v="Gel Pen Set"/>
    <n v="10443"/>
    <n v="6"/>
    <s v="0%"/>
    <n v="2900.27"/>
    <x v="0"/>
    <x v="0"/>
  </r>
  <r>
    <s v="ORD1652"/>
    <d v="2025-10-10T00:00:00"/>
    <s v="Karan Patel"/>
    <x v="2"/>
    <s v="Kerala"/>
    <s v="Office Supplies"/>
    <s v="Pen"/>
    <s v="Gel Pen Set"/>
    <n v="13448"/>
    <n v="3"/>
    <s v="20%"/>
    <n v="2882.81"/>
    <x v="10"/>
    <x v="0"/>
  </r>
  <r>
    <s v="ORD1653"/>
    <d v="2025-05-21T00:00:00"/>
    <s v="Karan Patel"/>
    <x v="3"/>
    <s v="Maharashtra"/>
    <s v="Technology"/>
    <s v="Laptop"/>
    <s v="HP Pavilion"/>
    <n v="62249"/>
    <n v="9"/>
    <s v="20%"/>
    <n v="13065.05"/>
    <x v="3"/>
    <x v="0"/>
  </r>
  <r>
    <s v="ORD1654"/>
    <d v="2025-05-16T00:00:00"/>
    <s v="Rohit Gupta"/>
    <x v="3"/>
    <s v="Rajasthan"/>
    <s v="Technology"/>
    <s v="Mobile"/>
    <s v="Samsung Galaxy"/>
    <n v="5209"/>
    <n v="10"/>
    <s v="15%"/>
    <n v="1070.3399999999999"/>
    <x v="3"/>
    <x v="0"/>
  </r>
  <r>
    <s v="ORD1655"/>
    <d v="2025-06-05T00:00:00"/>
    <s v="Simran Kaur"/>
    <x v="1"/>
    <s v="Bihar"/>
    <s v="Furniture"/>
    <s v="Chair"/>
    <s v="Office Chair"/>
    <n v="26372"/>
    <n v="2"/>
    <s v="10%"/>
    <n v="1962.61"/>
    <x v="9"/>
    <x v="0"/>
  </r>
  <r>
    <s v="ORD1656"/>
    <d v="2025-01-02T00:00:00"/>
    <s v="Priya Verma"/>
    <x v="1"/>
    <s v="Bihar"/>
    <s v="Technology"/>
    <s v="Laptop"/>
    <s v="HP Pavilion"/>
    <n v="39829"/>
    <n v="6"/>
    <s v="20%"/>
    <n v="8152.94"/>
    <x v="8"/>
    <x v="0"/>
  </r>
  <r>
    <s v="ORD1657"/>
    <d v="2025-03-13T00:00:00"/>
    <s v="Amit Kumar"/>
    <x v="2"/>
    <s v="Karnataka"/>
    <s v="Technology"/>
    <s v="Laptop"/>
    <s v="HP Pavilion"/>
    <n v="52655"/>
    <n v="5"/>
    <s v="10%"/>
    <n v="5126.95"/>
    <x v="6"/>
    <x v="0"/>
  </r>
  <r>
    <s v="ORD1658"/>
    <d v="2025-03-15T00:00:00"/>
    <s v="Karan Patel"/>
    <x v="0"/>
    <s v="Delhi"/>
    <s v="Technology"/>
    <s v="Mobile"/>
    <s v="Samsung Galaxy"/>
    <n v="73560"/>
    <n v="6"/>
    <s v="10%"/>
    <n v="6223.76"/>
    <x v="6"/>
    <x v="0"/>
  </r>
  <r>
    <s v="ORD1659"/>
    <d v="2025-11-18T00:00:00"/>
    <s v="Simran Kaur"/>
    <x v="1"/>
    <s v="Odisha"/>
    <s v="Furniture"/>
    <s v="Chair"/>
    <s v="Office Chair"/>
    <n v="73646"/>
    <n v="10"/>
    <s v="15%"/>
    <n v="8035.48"/>
    <x v="1"/>
    <x v="0"/>
  </r>
  <r>
    <s v="ORD1660"/>
    <d v="2025-01-11T00:00:00"/>
    <s v="Karan Patel"/>
    <x v="1"/>
    <s v="Odisha"/>
    <s v="Office Supplies"/>
    <s v="Pen"/>
    <s v="Gel Pen Set"/>
    <n v="16665"/>
    <n v="7"/>
    <s v="15%"/>
    <n v="1669.46"/>
    <x v="8"/>
    <x v="0"/>
  </r>
  <r>
    <s v="ORD1661"/>
    <d v="2025-04-03T00:00:00"/>
    <s v="Amit Kumar"/>
    <x v="1"/>
    <s v="Odisha"/>
    <s v="Office Supplies"/>
    <s v="Paper"/>
    <s v="A4 Paper Pack"/>
    <n v="79994"/>
    <n v="4"/>
    <s v="5%"/>
    <n v="14194.71"/>
    <x v="0"/>
    <x v="0"/>
  </r>
  <r>
    <s v="ORD1662"/>
    <d v="2025-12-10T00:00:00"/>
    <s v="Priya Verma"/>
    <x v="3"/>
    <s v="Gujarat"/>
    <s v="Office Supplies"/>
    <s v="Binder"/>
    <s v="A4 Binder"/>
    <n v="10412"/>
    <n v="3"/>
    <s v="10%"/>
    <n v="1819.74"/>
    <x v="7"/>
    <x v="0"/>
  </r>
  <r>
    <s v="ORD1663"/>
    <d v="2025-02-25T00:00:00"/>
    <s v="Arjun Rana"/>
    <x v="0"/>
    <s v="Haryana"/>
    <s v="Technology"/>
    <s v="Accessories"/>
    <s v="Wireless Mouse"/>
    <n v="6594"/>
    <n v="4"/>
    <s v="20%"/>
    <n v="1346.57"/>
    <x v="11"/>
    <x v="0"/>
  </r>
  <r>
    <s v="ORD1664"/>
    <d v="2025-01-12T00:00:00"/>
    <s v="Arjun Rana"/>
    <x v="0"/>
    <s v="Punjab"/>
    <s v="Technology"/>
    <s v="Laptop"/>
    <s v="HP Pavilion"/>
    <n v="70351"/>
    <n v="9"/>
    <s v="20%"/>
    <n v="18239.12"/>
    <x v="8"/>
    <x v="0"/>
  </r>
  <r>
    <s v="ORD1665"/>
    <d v="2025-02-11T00:00:00"/>
    <s v="Sneha Joshi"/>
    <x v="2"/>
    <s v="Kerala"/>
    <s v="Furniture"/>
    <s v="Chair"/>
    <s v="Office Chair"/>
    <n v="79572"/>
    <n v="1"/>
    <s v="0%"/>
    <n v="6990.34"/>
    <x v="11"/>
    <x v="0"/>
  </r>
  <r>
    <s v="ORD1666"/>
    <d v="2025-09-21T00:00:00"/>
    <s v="Anjali Mehta"/>
    <x v="3"/>
    <s v="Gujarat"/>
    <s v="Technology"/>
    <s v="Laptop"/>
    <s v="HP Pavilion"/>
    <n v="3961"/>
    <n v="6"/>
    <s v="5%"/>
    <n v="418.95"/>
    <x v="5"/>
    <x v="0"/>
  </r>
  <r>
    <s v="ORD1667"/>
    <d v="2025-01-30T00:00:00"/>
    <s v="Amit Kumar"/>
    <x v="1"/>
    <s v="Bihar"/>
    <s v="Technology"/>
    <s v="Mobile"/>
    <s v="Samsung Galaxy"/>
    <n v="48745"/>
    <n v="8"/>
    <s v="15%"/>
    <n v="8096.51"/>
    <x v="8"/>
    <x v="0"/>
  </r>
  <r>
    <s v="ORD1668"/>
    <d v="2025-05-09T00:00:00"/>
    <s v="Sneha Joshi"/>
    <x v="0"/>
    <s v="Haryana"/>
    <s v="Office Supplies"/>
    <s v="Pen"/>
    <s v="Gel Pen Set"/>
    <n v="59539"/>
    <n v="4"/>
    <s v="5%"/>
    <n v="6543.09"/>
    <x v="3"/>
    <x v="0"/>
  </r>
  <r>
    <s v="ORD1669"/>
    <d v="2025-09-09T00:00:00"/>
    <s v="Rohit Gupta"/>
    <x v="0"/>
    <s v="Punjab"/>
    <s v="Office Supplies"/>
    <s v="Pen"/>
    <s v="Gel Pen Set"/>
    <n v="13424"/>
    <n v="4"/>
    <s v="5%"/>
    <n v="2701.39"/>
    <x v="5"/>
    <x v="0"/>
  </r>
  <r>
    <s v="ORD1670"/>
    <d v="2025-07-19T00:00:00"/>
    <s v="Neha Singh"/>
    <x v="3"/>
    <s v="Gujarat"/>
    <s v="Office Supplies"/>
    <s v="Pen"/>
    <s v="Gel Pen Set"/>
    <n v="24243"/>
    <n v="4"/>
    <s v="15%"/>
    <n v="6422.79"/>
    <x v="4"/>
    <x v="0"/>
  </r>
  <r>
    <s v="ORD1671"/>
    <d v="2025-06-06T00:00:00"/>
    <s v="Karan Patel"/>
    <x v="0"/>
    <s v="Delhi"/>
    <s v="Technology"/>
    <s v="Mobile"/>
    <s v="Samsung Galaxy"/>
    <n v="52412"/>
    <n v="8"/>
    <s v="10%"/>
    <n v="7081.6"/>
    <x v="9"/>
    <x v="0"/>
  </r>
  <r>
    <s v="ORD1672"/>
    <d v="2025-03-18T00:00:00"/>
    <s v="Neha Singh"/>
    <x v="0"/>
    <s v="Punjab"/>
    <s v="Furniture"/>
    <s v="Bookcase"/>
    <s v="Wooden Bookcase"/>
    <n v="58810"/>
    <n v="2"/>
    <s v="10%"/>
    <n v="9630.1"/>
    <x v="6"/>
    <x v="0"/>
  </r>
  <r>
    <s v="ORD1673"/>
    <d v="2025-02-02T00:00:00"/>
    <s v="Karan Patel"/>
    <x v="2"/>
    <s v="Tamil Nadu"/>
    <s v="Furniture"/>
    <s v="Table"/>
    <s v="Study Table"/>
    <n v="68747"/>
    <n v="9"/>
    <s v="20%"/>
    <n v="17513.580000000002"/>
    <x v="11"/>
    <x v="0"/>
  </r>
  <r>
    <s v="ORD1674"/>
    <d v="2025-08-16T00:00:00"/>
    <s v="Arjun Rana"/>
    <x v="3"/>
    <s v="Rajasthan"/>
    <s v="Furniture"/>
    <s v="Bookcase"/>
    <s v="Wooden Bookcase"/>
    <n v="46022"/>
    <n v="3"/>
    <s v="20%"/>
    <n v="3475.55"/>
    <x v="2"/>
    <x v="0"/>
  </r>
  <r>
    <s v="ORD1675"/>
    <d v="2025-07-24T00:00:00"/>
    <s v="Priya Verma"/>
    <x v="3"/>
    <s v="Maharashtra"/>
    <s v="Furniture"/>
    <s v="Chair"/>
    <s v="Office Chair"/>
    <n v="63328"/>
    <n v="3"/>
    <s v="20%"/>
    <n v="10209.709999999999"/>
    <x v="4"/>
    <x v="0"/>
  </r>
  <r>
    <s v="ORD1676"/>
    <d v="2025-06-03T00:00:00"/>
    <s v="Arjun Rana"/>
    <x v="1"/>
    <s v="Bihar"/>
    <s v="Furniture"/>
    <s v="Chair"/>
    <s v="Office Chair"/>
    <n v="28853"/>
    <n v="1"/>
    <s v="15%"/>
    <n v="4233.03"/>
    <x v="9"/>
    <x v="0"/>
  </r>
  <r>
    <s v="ORD1677"/>
    <d v="2025-01-10T00:00:00"/>
    <s v="Anjali Mehta"/>
    <x v="2"/>
    <s v="Tamil Nadu"/>
    <s v="Furniture"/>
    <s v="Chair"/>
    <s v="Office Chair"/>
    <n v="59428"/>
    <n v="4"/>
    <s v="15%"/>
    <n v="15090.98"/>
    <x v="8"/>
    <x v="0"/>
  </r>
  <r>
    <s v="ORD1678"/>
    <d v="2025-06-07T00:00:00"/>
    <s v="Karan Patel"/>
    <x v="1"/>
    <s v="Bihar"/>
    <s v="Office Supplies"/>
    <s v="Binder"/>
    <s v="A4 Binder"/>
    <n v="45958"/>
    <n v="3"/>
    <s v="5%"/>
    <n v="12036.92"/>
    <x v="9"/>
    <x v="0"/>
  </r>
  <r>
    <s v="ORD1679"/>
    <d v="2025-06-07T00:00:00"/>
    <s v="Rahul Sharma"/>
    <x v="1"/>
    <s v="Bihar"/>
    <s v="Furniture"/>
    <s v="Chair"/>
    <s v="Office Chair"/>
    <n v="16769"/>
    <n v="6"/>
    <s v="0%"/>
    <n v="4157.82"/>
    <x v="9"/>
    <x v="0"/>
  </r>
  <r>
    <s v="ORD1680"/>
    <d v="2025-11-04T00:00:00"/>
    <s v="Karan Patel"/>
    <x v="3"/>
    <s v="Gujarat"/>
    <s v="Office Supplies"/>
    <s v="Binder"/>
    <s v="A4 Binder"/>
    <n v="35470"/>
    <n v="6"/>
    <s v="15%"/>
    <n v="2615.2199999999998"/>
    <x v="1"/>
    <x v="0"/>
  </r>
  <r>
    <s v="ORD1681"/>
    <d v="2025-06-27T00:00:00"/>
    <s v="Priya Verma"/>
    <x v="2"/>
    <s v="Tamil Nadu"/>
    <s v="Office Supplies"/>
    <s v="Paper"/>
    <s v="A4 Paper Pack"/>
    <n v="77643"/>
    <n v="7"/>
    <s v="20%"/>
    <n v="16579.900000000001"/>
    <x v="9"/>
    <x v="0"/>
  </r>
  <r>
    <s v="ORD1682"/>
    <d v="2025-01-24T00:00:00"/>
    <s v="Rahul Sharma"/>
    <x v="0"/>
    <s v="Delhi"/>
    <s v="Furniture"/>
    <s v="Table"/>
    <s v="Study Table"/>
    <n v="33478"/>
    <n v="5"/>
    <s v="5%"/>
    <n v="4379.96"/>
    <x v="8"/>
    <x v="0"/>
  </r>
  <r>
    <s v="ORD1683"/>
    <d v="2025-02-20T00:00:00"/>
    <s v="Sneha Joshi"/>
    <x v="3"/>
    <s v="Gujarat"/>
    <s v="Office Supplies"/>
    <s v="Pen"/>
    <s v="Gel Pen Set"/>
    <n v="48245"/>
    <n v="4"/>
    <s v="5%"/>
    <n v="12306.76"/>
    <x v="11"/>
    <x v="0"/>
  </r>
  <r>
    <s v="ORD1684"/>
    <d v="2025-02-10T00:00:00"/>
    <s v="Rahul Sharma"/>
    <x v="0"/>
    <s v="Punjab"/>
    <s v="Office Supplies"/>
    <s v="Pen"/>
    <s v="Gel Pen Set"/>
    <n v="72361"/>
    <n v="4"/>
    <s v="5%"/>
    <n v="16276.88"/>
    <x v="11"/>
    <x v="0"/>
  </r>
  <r>
    <s v="ORD1685"/>
    <d v="2025-10-28T00:00:00"/>
    <s v="Sneha Joshi"/>
    <x v="3"/>
    <s v="Gujarat"/>
    <s v="Furniture"/>
    <s v="Bookcase"/>
    <s v="Wooden Bookcase"/>
    <n v="64973"/>
    <n v="9"/>
    <s v="15%"/>
    <n v="11847.16"/>
    <x v="10"/>
    <x v="0"/>
  </r>
  <r>
    <s v="ORD1686"/>
    <d v="2025-11-14T00:00:00"/>
    <s v="Amit Kumar"/>
    <x v="1"/>
    <s v="West Bengal"/>
    <s v="Office Supplies"/>
    <s v="Pen"/>
    <s v="Gel Pen Set"/>
    <n v="8200"/>
    <n v="3"/>
    <s v="20%"/>
    <n v="1573.28"/>
    <x v="1"/>
    <x v="0"/>
  </r>
  <r>
    <s v="ORD1687"/>
    <d v="2025-02-18T00:00:00"/>
    <s v="Rahul Sharma"/>
    <x v="3"/>
    <s v="Rajasthan"/>
    <s v="Office Supplies"/>
    <s v="Paper"/>
    <s v="A4 Paper Pack"/>
    <n v="63920"/>
    <n v="1"/>
    <s v="5%"/>
    <n v="5226.58"/>
    <x v="11"/>
    <x v="0"/>
  </r>
  <r>
    <s v="ORD1688"/>
    <d v="2025-03-27T00:00:00"/>
    <s v="Karan Patel"/>
    <x v="0"/>
    <s v="Delhi"/>
    <s v="Furniture"/>
    <s v="Bookcase"/>
    <s v="Wooden Bookcase"/>
    <n v="69256"/>
    <n v="1"/>
    <s v="20%"/>
    <n v="17365.060000000001"/>
    <x v="6"/>
    <x v="0"/>
  </r>
  <r>
    <s v="ORD1689"/>
    <d v="2025-11-22T00:00:00"/>
    <s v="Priya Verma"/>
    <x v="3"/>
    <s v="Maharashtra"/>
    <s v="Technology"/>
    <s v="Mobile"/>
    <s v="Samsung Galaxy"/>
    <n v="58327"/>
    <n v="10"/>
    <s v="20%"/>
    <n v="11139.2"/>
    <x v="1"/>
    <x v="0"/>
  </r>
  <r>
    <s v="ORD1690"/>
    <d v="2025-02-22T00:00:00"/>
    <s v="Karan Patel"/>
    <x v="1"/>
    <s v="Bihar"/>
    <s v="Office Supplies"/>
    <s v="Paper"/>
    <s v="A4 Paper Pack"/>
    <n v="69175"/>
    <n v="6"/>
    <s v="15%"/>
    <n v="5515.47"/>
    <x v="11"/>
    <x v="0"/>
  </r>
  <r>
    <s v="ORD1691"/>
    <d v="2025-11-27T00:00:00"/>
    <s v="Rohit Gupta"/>
    <x v="3"/>
    <s v="Gujarat"/>
    <s v="Furniture"/>
    <s v="Chair"/>
    <s v="Office Chair"/>
    <n v="51275"/>
    <n v="6"/>
    <s v="15%"/>
    <n v="11106.99"/>
    <x v="1"/>
    <x v="0"/>
  </r>
  <r>
    <s v="ORD1692"/>
    <d v="2025-08-25T00:00:00"/>
    <s v="Arjun Rana"/>
    <x v="0"/>
    <s v="Haryana"/>
    <s v="Office Supplies"/>
    <s v="Paper"/>
    <s v="A4 Paper Pack"/>
    <n v="39761"/>
    <n v="7"/>
    <s v="15%"/>
    <n v="4608.33"/>
    <x v="2"/>
    <x v="0"/>
  </r>
  <r>
    <s v="ORD1693"/>
    <d v="2025-09-23T00:00:00"/>
    <s v="Amit Kumar"/>
    <x v="2"/>
    <s v="Karnataka"/>
    <s v="Office Supplies"/>
    <s v="Binder"/>
    <s v="A4 Binder"/>
    <n v="34085"/>
    <n v="2"/>
    <s v="10%"/>
    <n v="3212.45"/>
    <x v="5"/>
    <x v="0"/>
  </r>
  <r>
    <s v="ORD1694"/>
    <d v="2025-03-22T00:00:00"/>
    <s v="Rahul Sharma"/>
    <x v="1"/>
    <s v="Odisha"/>
    <s v="Office Supplies"/>
    <s v="Binder"/>
    <s v="A4 Binder"/>
    <n v="30275"/>
    <n v="2"/>
    <s v="10%"/>
    <n v="3714.92"/>
    <x v="6"/>
    <x v="0"/>
  </r>
  <r>
    <s v="ORD1695"/>
    <d v="2025-01-31T00:00:00"/>
    <s v="Priya Verma"/>
    <x v="2"/>
    <s v="Tamil Nadu"/>
    <s v="Office Supplies"/>
    <s v="Paper"/>
    <s v="A4 Paper Pack"/>
    <n v="62141"/>
    <n v="3"/>
    <s v="10%"/>
    <n v="14225.93"/>
    <x v="8"/>
    <x v="0"/>
  </r>
  <r>
    <s v="ORD1696"/>
    <d v="2025-01-08T00:00:00"/>
    <s v="Neha Singh"/>
    <x v="0"/>
    <s v="Punjab"/>
    <s v="Office Supplies"/>
    <s v="Binder"/>
    <s v="A4 Binder"/>
    <n v="69791"/>
    <n v="9"/>
    <s v="5%"/>
    <n v="13956.67"/>
    <x v="8"/>
    <x v="0"/>
  </r>
  <r>
    <s v="ORD1697"/>
    <d v="2025-05-12T00:00:00"/>
    <s v="Neha Singh"/>
    <x v="2"/>
    <s v="Kerala"/>
    <s v="Furniture"/>
    <s v="Chair"/>
    <s v="Office Chair"/>
    <n v="16641"/>
    <n v="1"/>
    <s v="5%"/>
    <n v="1735.95"/>
    <x v="3"/>
    <x v="0"/>
  </r>
  <r>
    <s v="ORD1698"/>
    <d v="2025-04-01T00:00:00"/>
    <s v="Simran Kaur"/>
    <x v="0"/>
    <s v="Delhi"/>
    <s v="Furniture"/>
    <s v="Bookcase"/>
    <s v="Wooden Bookcase"/>
    <n v="26135"/>
    <n v="4"/>
    <s v="15%"/>
    <n v="5520.59"/>
    <x v="0"/>
    <x v="0"/>
  </r>
  <r>
    <s v="ORD1699"/>
    <d v="2025-08-22T00:00:00"/>
    <s v="Rahul Sharma"/>
    <x v="3"/>
    <s v="Maharashtra"/>
    <s v="Technology"/>
    <s v="Laptop"/>
    <s v="HP Pavilion"/>
    <n v="70227"/>
    <n v="5"/>
    <s v="20%"/>
    <n v="17682.36"/>
    <x v="2"/>
    <x v="0"/>
  </r>
  <r>
    <s v="ORD1700"/>
    <d v="2025-06-07T00:00:00"/>
    <s v="Rahul Sharma"/>
    <x v="1"/>
    <s v="Odisha"/>
    <s v="Office Supplies"/>
    <s v="Paper"/>
    <s v="A4 Paper Pack"/>
    <n v="35508"/>
    <n v="8"/>
    <s v="5%"/>
    <n v="2970.14"/>
    <x v="9"/>
    <x v="0"/>
  </r>
  <r>
    <s v="ORD1701"/>
    <d v="2025-09-26T00:00:00"/>
    <s v="Arjun Rana"/>
    <x v="1"/>
    <s v="Odisha"/>
    <s v="Furniture"/>
    <s v="Chair"/>
    <s v="Office Chair"/>
    <n v="63755"/>
    <n v="3"/>
    <s v="5%"/>
    <n v="7795.17"/>
    <x v="5"/>
    <x v="0"/>
  </r>
  <r>
    <s v="ORD1702"/>
    <d v="2025-09-07T00:00:00"/>
    <s v="Rahul Sharma"/>
    <x v="1"/>
    <s v="Bihar"/>
    <s v="Technology"/>
    <s v="Laptop"/>
    <s v="HP Pavilion"/>
    <n v="60871"/>
    <n v="7"/>
    <s v="0%"/>
    <n v="11736.69"/>
    <x v="5"/>
    <x v="0"/>
  </r>
  <r>
    <s v="ORD1703"/>
    <d v="2025-09-06T00:00:00"/>
    <s v="Karan Patel"/>
    <x v="3"/>
    <s v="Maharashtra"/>
    <s v="Technology"/>
    <s v="Accessories"/>
    <s v="Wireless Mouse"/>
    <n v="60780"/>
    <n v="2"/>
    <s v="0%"/>
    <n v="9954.91"/>
    <x v="5"/>
    <x v="0"/>
  </r>
  <r>
    <s v="ORD1704"/>
    <d v="2025-12-08T00:00:00"/>
    <s v="Simran Kaur"/>
    <x v="0"/>
    <s v="Haryana"/>
    <s v="Furniture"/>
    <s v="Table"/>
    <s v="Study Table"/>
    <n v="50066"/>
    <n v="5"/>
    <s v="0%"/>
    <n v="5544.86"/>
    <x v="7"/>
    <x v="0"/>
  </r>
  <r>
    <s v="ORD1705"/>
    <d v="2025-04-22T00:00:00"/>
    <s v="Arjun Rana"/>
    <x v="1"/>
    <s v="West Bengal"/>
    <s v="Furniture"/>
    <s v="Table"/>
    <s v="Study Table"/>
    <n v="27239"/>
    <n v="5"/>
    <s v="10%"/>
    <n v="5480.4"/>
    <x v="0"/>
    <x v="0"/>
  </r>
  <r>
    <s v="ORD1706"/>
    <d v="2025-09-13T00:00:00"/>
    <s v="Karan Patel"/>
    <x v="3"/>
    <s v="Rajasthan"/>
    <s v="Technology"/>
    <s v="Mobile"/>
    <s v="Samsung Galaxy"/>
    <n v="16396"/>
    <n v="8"/>
    <s v="10%"/>
    <n v="1487.92"/>
    <x v="5"/>
    <x v="0"/>
  </r>
  <r>
    <s v="ORD1707"/>
    <d v="2025-11-25T00:00:00"/>
    <s v="Sneha Joshi"/>
    <x v="1"/>
    <s v="West Bengal"/>
    <s v="Furniture"/>
    <s v="Bookcase"/>
    <s v="Wooden Bookcase"/>
    <n v="71073"/>
    <n v="9"/>
    <s v="0%"/>
    <n v="7876.42"/>
    <x v="1"/>
    <x v="0"/>
  </r>
  <r>
    <s v="ORD1708"/>
    <d v="2025-01-18T00:00:00"/>
    <s v="Priya Verma"/>
    <x v="1"/>
    <s v="West Bengal"/>
    <s v="Office Supplies"/>
    <s v="Paper"/>
    <s v="A4 Paper Pack"/>
    <n v="10029"/>
    <n v="10"/>
    <s v="10%"/>
    <n v="966.85"/>
    <x v="8"/>
    <x v="0"/>
  </r>
  <r>
    <s v="ORD1709"/>
    <d v="2025-08-08T00:00:00"/>
    <s v="Simran Kaur"/>
    <x v="2"/>
    <s v="Karnataka"/>
    <s v="Technology"/>
    <s v="Mobile"/>
    <s v="Samsung Galaxy"/>
    <n v="3441"/>
    <n v="9"/>
    <s v="10%"/>
    <n v="522.24"/>
    <x v="2"/>
    <x v="0"/>
  </r>
  <r>
    <s v="ORD1710"/>
    <d v="2025-01-23T00:00:00"/>
    <s v="Simran Kaur"/>
    <x v="0"/>
    <s v="Haryana"/>
    <s v="Furniture"/>
    <s v="Chair"/>
    <s v="Office Chair"/>
    <n v="60576"/>
    <n v="7"/>
    <s v="20%"/>
    <n v="8893.0300000000007"/>
    <x v="8"/>
    <x v="0"/>
  </r>
  <r>
    <s v="ORD1711"/>
    <d v="2025-02-19T00:00:00"/>
    <s v="Sneha Joshi"/>
    <x v="1"/>
    <s v="Bihar"/>
    <s v="Technology"/>
    <s v="Laptop"/>
    <s v="HP Pavilion"/>
    <n v="74075"/>
    <n v="7"/>
    <s v="10%"/>
    <n v="7195.05"/>
    <x v="11"/>
    <x v="0"/>
  </r>
  <r>
    <s v="ORD1712"/>
    <d v="2025-03-17T00:00:00"/>
    <s v="Priya Verma"/>
    <x v="0"/>
    <s v="Haryana"/>
    <s v="Furniture"/>
    <s v="Chair"/>
    <s v="Office Chair"/>
    <n v="58495"/>
    <n v="5"/>
    <s v="20%"/>
    <n v="12137.15"/>
    <x v="6"/>
    <x v="0"/>
  </r>
  <r>
    <s v="ORD1713"/>
    <d v="2025-11-10T00:00:00"/>
    <s v="Rahul Sharma"/>
    <x v="2"/>
    <s v="Kerala"/>
    <s v="Technology"/>
    <s v="Laptop"/>
    <s v="HP Pavilion"/>
    <n v="7673"/>
    <n v="3"/>
    <s v="20%"/>
    <n v="1283.67"/>
    <x v="1"/>
    <x v="0"/>
  </r>
  <r>
    <s v="ORD1714"/>
    <d v="2025-02-21T00:00:00"/>
    <s v="Amit Kumar"/>
    <x v="0"/>
    <s v="Delhi"/>
    <s v="Furniture"/>
    <s v="Bookcase"/>
    <s v="Wooden Bookcase"/>
    <n v="68819"/>
    <n v="7"/>
    <s v="20%"/>
    <n v="15994.42"/>
    <x v="11"/>
    <x v="0"/>
  </r>
  <r>
    <s v="ORD1715"/>
    <d v="2025-05-20T00:00:00"/>
    <s v="Karan Patel"/>
    <x v="1"/>
    <s v="West Bengal"/>
    <s v="Technology"/>
    <s v="Laptop"/>
    <s v="HP Pavilion"/>
    <n v="15139"/>
    <n v="10"/>
    <s v="5%"/>
    <n v="2002.12"/>
    <x v="3"/>
    <x v="0"/>
  </r>
  <r>
    <s v="ORD1716"/>
    <d v="2025-05-19T00:00:00"/>
    <s v="Simran Kaur"/>
    <x v="3"/>
    <s v="Gujarat"/>
    <s v="Furniture"/>
    <s v="Chair"/>
    <s v="Office Chair"/>
    <n v="26676"/>
    <n v="5"/>
    <s v="15%"/>
    <n v="6194.65"/>
    <x v="3"/>
    <x v="0"/>
  </r>
  <r>
    <s v="ORD1717"/>
    <d v="2025-07-21T00:00:00"/>
    <s v="Rohit Gupta"/>
    <x v="1"/>
    <s v="Bihar"/>
    <s v="Technology"/>
    <s v="Laptop"/>
    <s v="HP Pavilion"/>
    <n v="51027"/>
    <n v="5"/>
    <s v="20%"/>
    <n v="11633.69"/>
    <x v="4"/>
    <x v="0"/>
  </r>
  <r>
    <s v="ORD1718"/>
    <d v="2025-01-03T00:00:00"/>
    <s v="Priya Verma"/>
    <x v="2"/>
    <s v="Karnataka"/>
    <s v="Furniture"/>
    <s v="Chair"/>
    <s v="Office Chair"/>
    <n v="47347"/>
    <n v="3"/>
    <s v="20%"/>
    <n v="7480.51"/>
    <x v="8"/>
    <x v="0"/>
  </r>
  <r>
    <s v="ORD1719"/>
    <d v="2025-01-11T00:00:00"/>
    <s v="Arjun Rana"/>
    <x v="0"/>
    <s v="Punjab"/>
    <s v="Furniture"/>
    <s v="Bookcase"/>
    <s v="Wooden Bookcase"/>
    <n v="6004"/>
    <n v="4"/>
    <s v="5%"/>
    <n v="1376.37"/>
    <x v="8"/>
    <x v="0"/>
  </r>
  <r>
    <s v="ORD1720"/>
    <d v="2025-08-26T00:00:00"/>
    <s v="Anjali Mehta"/>
    <x v="1"/>
    <s v="Bihar"/>
    <s v="Furniture"/>
    <s v="Chair"/>
    <s v="Office Chair"/>
    <n v="60590"/>
    <n v="8"/>
    <s v="20%"/>
    <n v="12826.78"/>
    <x v="2"/>
    <x v="0"/>
  </r>
  <r>
    <s v="ORD1721"/>
    <d v="2025-10-27T00:00:00"/>
    <s v="Priya Verma"/>
    <x v="3"/>
    <s v="Maharashtra"/>
    <s v="Office Supplies"/>
    <s v="Paper"/>
    <s v="A4 Paper Pack"/>
    <n v="5378"/>
    <n v="10"/>
    <s v="10%"/>
    <n v="517.62"/>
    <x v="10"/>
    <x v="0"/>
  </r>
  <r>
    <s v="ORD1722"/>
    <d v="2025-08-29T00:00:00"/>
    <s v="Arjun Rana"/>
    <x v="1"/>
    <s v="West Bengal"/>
    <s v="Furniture"/>
    <s v="Bookcase"/>
    <s v="Wooden Bookcase"/>
    <n v="43147"/>
    <n v="4"/>
    <s v="20%"/>
    <n v="3368.28"/>
    <x v="2"/>
    <x v="0"/>
  </r>
  <r>
    <s v="ORD1723"/>
    <d v="2025-09-24T00:00:00"/>
    <s v="Arjun Rana"/>
    <x v="3"/>
    <s v="Maharashtra"/>
    <s v="Furniture"/>
    <s v="Table"/>
    <s v="Study Table"/>
    <n v="11585"/>
    <n v="3"/>
    <s v="5%"/>
    <n v="906.68"/>
    <x v="5"/>
    <x v="0"/>
  </r>
  <r>
    <s v="ORD1724"/>
    <d v="2025-04-06T00:00:00"/>
    <s v="Priya Verma"/>
    <x v="3"/>
    <s v="Gujarat"/>
    <s v="Technology"/>
    <s v="Mobile"/>
    <s v="Samsung Galaxy"/>
    <n v="20000"/>
    <n v="10"/>
    <s v="20%"/>
    <n v="3532.45"/>
    <x v="0"/>
    <x v="0"/>
  </r>
  <r>
    <s v="ORD1725"/>
    <d v="2025-10-12T00:00:00"/>
    <s v="Rohit Gupta"/>
    <x v="1"/>
    <s v="Odisha"/>
    <s v="Furniture"/>
    <s v="Table"/>
    <s v="Study Table"/>
    <n v="69712"/>
    <n v="7"/>
    <s v="0%"/>
    <n v="15129.67"/>
    <x v="10"/>
    <x v="0"/>
  </r>
  <r>
    <s v="ORD1726"/>
    <d v="2025-02-06T00:00:00"/>
    <s v="Neha Singh"/>
    <x v="0"/>
    <s v="Haryana"/>
    <s v="Office Supplies"/>
    <s v="Binder"/>
    <s v="A4 Binder"/>
    <n v="76357"/>
    <n v="8"/>
    <s v="0%"/>
    <n v="15651.59"/>
    <x v="11"/>
    <x v="0"/>
  </r>
  <r>
    <s v="ORD1727"/>
    <d v="2025-07-21T00:00:00"/>
    <s v="Rahul Sharma"/>
    <x v="3"/>
    <s v="Maharashtra"/>
    <s v="Technology"/>
    <s v="Accessories"/>
    <s v="Wireless Mouse"/>
    <n v="68400"/>
    <n v="10"/>
    <s v="10%"/>
    <n v="12899.79"/>
    <x v="4"/>
    <x v="0"/>
  </r>
  <r>
    <s v="ORD1728"/>
    <d v="2025-07-20T00:00:00"/>
    <s v="Karan Patel"/>
    <x v="0"/>
    <s v="Delhi"/>
    <s v="Furniture"/>
    <s v="Bookcase"/>
    <s v="Wooden Bookcase"/>
    <n v="11739"/>
    <n v="9"/>
    <s v="5%"/>
    <n v="2433.0500000000002"/>
    <x v="4"/>
    <x v="0"/>
  </r>
  <r>
    <s v="ORD1729"/>
    <d v="2025-03-17T00:00:00"/>
    <s v="Priya Verma"/>
    <x v="2"/>
    <s v="Tamil Nadu"/>
    <s v="Office Supplies"/>
    <s v="Paper"/>
    <s v="A4 Paper Pack"/>
    <n v="48259"/>
    <n v="1"/>
    <s v="20%"/>
    <n v="4351.78"/>
    <x v="6"/>
    <x v="0"/>
  </r>
  <r>
    <s v="ORD1730"/>
    <d v="2025-03-28T00:00:00"/>
    <s v="Simran Kaur"/>
    <x v="0"/>
    <s v="Punjab"/>
    <s v="Furniture"/>
    <s v="Bookcase"/>
    <s v="Wooden Bookcase"/>
    <n v="5958"/>
    <n v="8"/>
    <s v="20%"/>
    <n v="554.97"/>
    <x v="6"/>
    <x v="0"/>
  </r>
  <r>
    <s v="ORD1731"/>
    <d v="2025-08-19T00:00:00"/>
    <s v="Simran Kaur"/>
    <x v="0"/>
    <s v="Punjab"/>
    <s v="Technology"/>
    <s v="Mobile"/>
    <s v="Samsung Galaxy"/>
    <n v="67888"/>
    <n v="8"/>
    <s v="20%"/>
    <n v="7143.24"/>
    <x v="2"/>
    <x v="0"/>
  </r>
  <r>
    <s v="ORD1732"/>
    <d v="2025-11-26T00:00:00"/>
    <s v="Simran Kaur"/>
    <x v="2"/>
    <s v="Tamil Nadu"/>
    <s v="Furniture"/>
    <s v="Bookcase"/>
    <s v="Wooden Bookcase"/>
    <n v="12945"/>
    <n v="4"/>
    <s v="5%"/>
    <n v="2432.71"/>
    <x v="1"/>
    <x v="0"/>
  </r>
  <r>
    <s v="ORD1733"/>
    <d v="2025-08-19T00:00:00"/>
    <s v="Rohit Gupta"/>
    <x v="3"/>
    <s v="Maharashtra"/>
    <s v="Technology"/>
    <s v="Mobile"/>
    <s v="Samsung Galaxy"/>
    <n v="55477"/>
    <n v="1"/>
    <s v="10%"/>
    <n v="9769.36"/>
    <x v="2"/>
    <x v="0"/>
  </r>
  <r>
    <s v="ORD1734"/>
    <d v="2025-12-23T00:00:00"/>
    <s v="Neha Singh"/>
    <x v="2"/>
    <s v="Tamil Nadu"/>
    <s v="Technology"/>
    <s v="Accessories"/>
    <s v="Wireless Mouse"/>
    <n v="5197"/>
    <n v="10"/>
    <s v="10%"/>
    <n v="898.53"/>
    <x v="7"/>
    <x v="0"/>
  </r>
  <r>
    <s v="ORD1735"/>
    <d v="2025-08-20T00:00:00"/>
    <s v="Amit Kumar"/>
    <x v="1"/>
    <s v="Bihar"/>
    <s v="Technology"/>
    <s v="Mobile"/>
    <s v="Samsung Galaxy"/>
    <n v="17994"/>
    <n v="1"/>
    <s v="5%"/>
    <n v="2319.66"/>
    <x v="2"/>
    <x v="0"/>
  </r>
  <r>
    <s v="ORD1736"/>
    <d v="2025-09-17T00:00:00"/>
    <s v="Anjali Mehta"/>
    <x v="3"/>
    <s v="Gujarat"/>
    <s v="Technology"/>
    <s v="Mobile"/>
    <s v="Samsung Galaxy"/>
    <n v="50463"/>
    <n v="7"/>
    <s v="0%"/>
    <n v="8597.76"/>
    <x v="5"/>
    <x v="0"/>
  </r>
  <r>
    <s v="ORD1737"/>
    <d v="2025-11-29T00:00:00"/>
    <s v="Neha Singh"/>
    <x v="2"/>
    <s v="Karnataka"/>
    <s v="Office Supplies"/>
    <s v="Pen"/>
    <s v="Gel Pen Set"/>
    <n v="67695"/>
    <n v="10"/>
    <s v="10%"/>
    <n v="15099"/>
    <x v="1"/>
    <x v="0"/>
  </r>
  <r>
    <s v="ORD1738"/>
    <d v="2025-01-25T00:00:00"/>
    <s v="Karan Patel"/>
    <x v="1"/>
    <s v="Bihar"/>
    <s v="Office Supplies"/>
    <s v="Paper"/>
    <s v="A4 Paper Pack"/>
    <n v="76969"/>
    <n v="4"/>
    <s v="0%"/>
    <n v="8098.91"/>
    <x v="8"/>
    <x v="0"/>
  </r>
  <r>
    <s v="ORD1739"/>
    <d v="2025-08-01T00:00:00"/>
    <s v="Neha Singh"/>
    <x v="0"/>
    <s v="Delhi"/>
    <s v="Furniture"/>
    <s v="Chair"/>
    <s v="Office Chair"/>
    <n v="37188"/>
    <n v="1"/>
    <s v="5%"/>
    <n v="6881.23"/>
    <x v="2"/>
    <x v="0"/>
  </r>
  <r>
    <s v="ORD1740"/>
    <d v="2025-07-14T00:00:00"/>
    <s v="Rohit Gupta"/>
    <x v="0"/>
    <s v="Punjab"/>
    <s v="Technology"/>
    <s v="Accessories"/>
    <s v="Wireless Mouse"/>
    <n v="63207"/>
    <n v="6"/>
    <s v="0%"/>
    <n v="11780.4"/>
    <x v="4"/>
    <x v="0"/>
  </r>
  <r>
    <s v="ORD1741"/>
    <d v="2025-08-29T00:00:00"/>
    <s v="Rohit Gupta"/>
    <x v="0"/>
    <s v="Punjab"/>
    <s v="Technology"/>
    <s v="Accessories"/>
    <s v="Wireless Mouse"/>
    <n v="64940"/>
    <n v="1"/>
    <s v="0%"/>
    <n v="8161.97"/>
    <x v="2"/>
    <x v="0"/>
  </r>
  <r>
    <s v="ORD1742"/>
    <d v="2025-01-17T00:00:00"/>
    <s v="Rohit Gupta"/>
    <x v="2"/>
    <s v="Karnataka"/>
    <s v="Office Supplies"/>
    <s v="Pen"/>
    <s v="Gel Pen Set"/>
    <n v="35361"/>
    <n v="5"/>
    <s v="5%"/>
    <n v="9160.2800000000007"/>
    <x v="8"/>
    <x v="0"/>
  </r>
  <r>
    <s v="ORD1743"/>
    <d v="2025-07-26T00:00:00"/>
    <s v="Arjun Rana"/>
    <x v="1"/>
    <s v="Odisha"/>
    <s v="Office Supplies"/>
    <s v="Pen"/>
    <s v="Gel Pen Set"/>
    <n v="18070"/>
    <n v="9"/>
    <s v="5%"/>
    <n v="2655.57"/>
    <x v="4"/>
    <x v="0"/>
  </r>
  <r>
    <s v="ORD1744"/>
    <d v="2025-06-08T00:00:00"/>
    <s v="Sneha Joshi"/>
    <x v="3"/>
    <s v="Rajasthan"/>
    <s v="Technology"/>
    <s v="Laptop"/>
    <s v="HP Pavilion"/>
    <n v="26436"/>
    <n v="6"/>
    <s v="10%"/>
    <n v="3757.59"/>
    <x v="9"/>
    <x v="0"/>
  </r>
  <r>
    <s v="ORD1745"/>
    <d v="2025-04-03T00:00:00"/>
    <s v="Rohit Gupta"/>
    <x v="2"/>
    <s v="Kerala"/>
    <s v="Office Supplies"/>
    <s v="Binder"/>
    <s v="A4 Binder"/>
    <n v="6418"/>
    <n v="4"/>
    <s v="15%"/>
    <n v="571.26"/>
    <x v="0"/>
    <x v="0"/>
  </r>
  <r>
    <s v="ORD1746"/>
    <d v="2025-04-28T00:00:00"/>
    <s v="Amit Kumar"/>
    <x v="0"/>
    <s v="Delhi"/>
    <s v="Furniture"/>
    <s v="Bookcase"/>
    <s v="Wooden Bookcase"/>
    <n v="27535"/>
    <n v="2"/>
    <s v="10%"/>
    <n v="5442.69"/>
    <x v="0"/>
    <x v="0"/>
  </r>
  <r>
    <s v="ORD1747"/>
    <d v="2025-12-21T00:00:00"/>
    <s v="Rohit Gupta"/>
    <x v="0"/>
    <s v="Haryana"/>
    <s v="Furniture"/>
    <s v="Chair"/>
    <s v="Office Chair"/>
    <n v="51397"/>
    <n v="1"/>
    <s v="15%"/>
    <n v="10585.48"/>
    <x v="7"/>
    <x v="0"/>
  </r>
  <r>
    <s v="ORD1748"/>
    <d v="2025-10-14T00:00:00"/>
    <s v="Sneha Joshi"/>
    <x v="1"/>
    <s v="West Bengal"/>
    <s v="Furniture"/>
    <s v="Table"/>
    <s v="Study Table"/>
    <n v="57896"/>
    <n v="6"/>
    <s v="5%"/>
    <n v="10439.030000000001"/>
    <x v="10"/>
    <x v="0"/>
  </r>
  <r>
    <s v="ORD1749"/>
    <d v="2025-05-18T00:00:00"/>
    <s v="Anjali Mehta"/>
    <x v="2"/>
    <s v="Karnataka"/>
    <s v="Furniture"/>
    <s v="Table"/>
    <s v="Study Table"/>
    <n v="19313"/>
    <n v="5"/>
    <s v="0%"/>
    <n v="1638.43"/>
    <x v="3"/>
    <x v="0"/>
  </r>
  <r>
    <s v="ORD1750"/>
    <d v="2025-06-27T00:00:00"/>
    <s v="Sneha Joshi"/>
    <x v="3"/>
    <s v="Rajasthan"/>
    <s v="Office Supplies"/>
    <s v="Binder"/>
    <s v="A4 Binder"/>
    <n v="74830"/>
    <n v="10"/>
    <s v="15%"/>
    <n v="13793.76"/>
    <x v="9"/>
    <x v="0"/>
  </r>
  <r>
    <s v="ORD1751"/>
    <d v="2025-01-02T00:00:00"/>
    <s v="Neha Singh"/>
    <x v="2"/>
    <s v="Karnataka"/>
    <s v="Furniture"/>
    <s v="Bookcase"/>
    <s v="Wooden Bookcase"/>
    <n v="16841"/>
    <n v="5"/>
    <s v="10%"/>
    <n v="1369.99"/>
    <x v="8"/>
    <x v="0"/>
  </r>
  <r>
    <s v="ORD1752"/>
    <d v="2025-01-16T00:00:00"/>
    <s v="Simran Kaur"/>
    <x v="3"/>
    <s v="Maharashtra"/>
    <s v="Furniture"/>
    <s v="Chair"/>
    <s v="Office Chair"/>
    <n v="61145"/>
    <n v="4"/>
    <s v="10%"/>
    <n v="12004"/>
    <x v="8"/>
    <x v="0"/>
  </r>
  <r>
    <s v="ORD1753"/>
    <d v="2025-02-13T00:00:00"/>
    <s v="Karan Patel"/>
    <x v="2"/>
    <s v="Karnataka"/>
    <s v="Office Supplies"/>
    <s v="Pen"/>
    <s v="Gel Pen Set"/>
    <n v="20972"/>
    <n v="6"/>
    <s v="15%"/>
    <n v="5413.81"/>
    <x v="11"/>
    <x v="0"/>
  </r>
  <r>
    <s v="ORD1754"/>
    <d v="2025-10-19T00:00:00"/>
    <s v="Amit Kumar"/>
    <x v="3"/>
    <s v="Gujarat"/>
    <s v="Technology"/>
    <s v="Accessories"/>
    <s v="Wireless Mouse"/>
    <n v="61977"/>
    <n v="2"/>
    <s v="5%"/>
    <n v="16856.849999999999"/>
    <x v="10"/>
    <x v="0"/>
  </r>
  <r>
    <s v="ORD1755"/>
    <d v="2025-08-17T00:00:00"/>
    <s v="Anjali Mehta"/>
    <x v="2"/>
    <s v="Karnataka"/>
    <s v="Furniture"/>
    <s v="Bookcase"/>
    <s v="Wooden Bookcase"/>
    <n v="61110"/>
    <n v="7"/>
    <s v="0%"/>
    <n v="16043.83"/>
    <x v="2"/>
    <x v="0"/>
  </r>
  <r>
    <s v="ORD1756"/>
    <d v="2025-12-24T00:00:00"/>
    <s v="Karan Patel"/>
    <x v="0"/>
    <s v="Haryana"/>
    <s v="Furniture"/>
    <s v="Table"/>
    <s v="Study Table"/>
    <n v="61879"/>
    <n v="3"/>
    <s v="10%"/>
    <n v="5056.2"/>
    <x v="7"/>
    <x v="0"/>
  </r>
  <r>
    <s v="ORD1757"/>
    <d v="2025-11-25T00:00:00"/>
    <s v="Anjali Mehta"/>
    <x v="0"/>
    <s v="Punjab"/>
    <s v="Office Supplies"/>
    <s v="Binder"/>
    <s v="A4 Binder"/>
    <n v="35627"/>
    <n v="3"/>
    <s v="0%"/>
    <n v="3858.36"/>
    <x v="1"/>
    <x v="0"/>
  </r>
  <r>
    <s v="ORD1758"/>
    <d v="2025-11-10T00:00:00"/>
    <s v="Neha Singh"/>
    <x v="2"/>
    <s v="Karnataka"/>
    <s v="Office Supplies"/>
    <s v="Paper"/>
    <s v="A4 Paper Pack"/>
    <n v="5611"/>
    <n v="6"/>
    <s v="0%"/>
    <n v="1312.7"/>
    <x v="1"/>
    <x v="0"/>
  </r>
  <r>
    <s v="ORD1759"/>
    <d v="2025-08-19T00:00:00"/>
    <s v="Sneha Joshi"/>
    <x v="3"/>
    <s v="Maharashtra"/>
    <s v="Office Supplies"/>
    <s v="Paper"/>
    <s v="A4 Paper Pack"/>
    <n v="31871"/>
    <n v="10"/>
    <s v="20%"/>
    <n v="6138.68"/>
    <x v="2"/>
    <x v="0"/>
  </r>
  <r>
    <s v="ORD1760"/>
    <d v="2025-09-02T00:00:00"/>
    <s v="Anjali Mehta"/>
    <x v="1"/>
    <s v="Odisha"/>
    <s v="Office Supplies"/>
    <s v="Binder"/>
    <s v="A4 Binder"/>
    <n v="13263"/>
    <n v="8"/>
    <s v="15%"/>
    <n v="1855.54"/>
    <x v="5"/>
    <x v="0"/>
  </r>
  <r>
    <s v="ORD1761"/>
    <d v="2025-10-24T00:00:00"/>
    <s v="Karan Patel"/>
    <x v="1"/>
    <s v="Bihar"/>
    <s v="Office Supplies"/>
    <s v="Pen"/>
    <s v="Gel Pen Set"/>
    <n v="46161"/>
    <n v="3"/>
    <s v="0%"/>
    <n v="4990.29"/>
    <x v="10"/>
    <x v="0"/>
  </r>
  <r>
    <s v="ORD1762"/>
    <d v="2025-07-05T00:00:00"/>
    <s v="Simran Kaur"/>
    <x v="2"/>
    <s v="Kerala"/>
    <s v="Technology"/>
    <s v="Laptop"/>
    <s v="HP Pavilion"/>
    <n v="945"/>
    <n v="2"/>
    <s v="10%"/>
    <n v="180.44"/>
    <x v="4"/>
    <x v="0"/>
  </r>
  <r>
    <s v="ORD1763"/>
    <d v="2025-08-09T00:00:00"/>
    <s v="Sneha Joshi"/>
    <x v="3"/>
    <s v="Rajasthan"/>
    <s v="Furniture"/>
    <s v="Table"/>
    <s v="Study Table"/>
    <n v="33968"/>
    <n v="7"/>
    <s v="10%"/>
    <n v="8951.52"/>
    <x v="2"/>
    <x v="0"/>
  </r>
  <r>
    <s v="ORD1764"/>
    <d v="2025-01-24T00:00:00"/>
    <s v="Amit Kumar"/>
    <x v="2"/>
    <s v="Karnataka"/>
    <s v="Office Supplies"/>
    <s v="Binder"/>
    <s v="A4 Binder"/>
    <n v="69998"/>
    <n v="3"/>
    <s v="0%"/>
    <n v="8808.8799999999992"/>
    <x v="8"/>
    <x v="0"/>
  </r>
  <r>
    <s v="ORD1765"/>
    <d v="2025-03-17T00:00:00"/>
    <s v="Priya Verma"/>
    <x v="2"/>
    <s v="Kerala"/>
    <s v="Furniture"/>
    <s v="Chair"/>
    <s v="Office Chair"/>
    <n v="819"/>
    <n v="2"/>
    <s v="5%"/>
    <n v="134.32"/>
    <x v="6"/>
    <x v="0"/>
  </r>
  <r>
    <s v="ORD1766"/>
    <d v="2025-09-21T00:00:00"/>
    <s v="Sneha Joshi"/>
    <x v="0"/>
    <s v="Delhi"/>
    <s v="Furniture"/>
    <s v="Table"/>
    <s v="Study Table"/>
    <n v="21489"/>
    <n v="1"/>
    <s v="10%"/>
    <n v="4795.2"/>
    <x v="5"/>
    <x v="0"/>
  </r>
  <r>
    <s v="ORD1767"/>
    <d v="2025-02-26T00:00:00"/>
    <s v="Neha Singh"/>
    <x v="3"/>
    <s v="Maharashtra"/>
    <s v="Technology"/>
    <s v="Mobile"/>
    <s v="Samsung Galaxy"/>
    <n v="13240"/>
    <n v="7"/>
    <s v="5%"/>
    <n v="1219.25"/>
    <x v="11"/>
    <x v="0"/>
  </r>
  <r>
    <s v="ORD1768"/>
    <d v="2025-05-08T00:00:00"/>
    <s v="Priya Verma"/>
    <x v="0"/>
    <s v="Punjab"/>
    <s v="Furniture"/>
    <s v="Table"/>
    <s v="Study Table"/>
    <n v="9443"/>
    <n v="4"/>
    <s v="15%"/>
    <n v="1125.17"/>
    <x v="3"/>
    <x v="0"/>
  </r>
  <r>
    <s v="ORD1769"/>
    <d v="2025-02-21T00:00:00"/>
    <s v="Rahul Sharma"/>
    <x v="0"/>
    <s v="Punjab"/>
    <s v="Technology"/>
    <s v="Laptop"/>
    <s v="HP Pavilion"/>
    <n v="40130"/>
    <n v="6"/>
    <s v="0%"/>
    <n v="5116.7299999999996"/>
    <x v="11"/>
    <x v="0"/>
  </r>
  <r>
    <s v="ORD1770"/>
    <d v="2025-10-12T00:00:00"/>
    <s v="Amit Kumar"/>
    <x v="1"/>
    <s v="West Bengal"/>
    <s v="Furniture"/>
    <s v="Bookcase"/>
    <s v="Wooden Bookcase"/>
    <n v="10892"/>
    <n v="5"/>
    <s v="5%"/>
    <n v="2424.63"/>
    <x v="10"/>
    <x v="0"/>
  </r>
  <r>
    <s v="ORD1771"/>
    <d v="2025-07-31T00:00:00"/>
    <s v="Rahul Sharma"/>
    <x v="0"/>
    <s v="Haryana"/>
    <s v="Furniture"/>
    <s v="Bookcase"/>
    <s v="Wooden Bookcase"/>
    <n v="3478"/>
    <n v="5"/>
    <s v="10%"/>
    <n v="731.89"/>
    <x v="4"/>
    <x v="0"/>
  </r>
  <r>
    <s v="ORD1772"/>
    <d v="2025-12-27T00:00:00"/>
    <s v="Simran Kaur"/>
    <x v="0"/>
    <s v="Delhi"/>
    <s v="Furniture"/>
    <s v="Table"/>
    <s v="Study Table"/>
    <n v="815"/>
    <n v="10"/>
    <s v="0%"/>
    <n v="128.02000000000001"/>
    <x v="7"/>
    <x v="0"/>
  </r>
  <r>
    <s v="ORD1773"/>
    <d v="2025-09-30T00:00:00"/>
    <s v="Rohit Gupta"/>
    <x v="2"/>
    <s v="Karnataka"/>
    <s v="Technology"/>
    <s v="Mobile"/>
    <s v="Samsung Galaxy"/>
    <n v="6171"/>
    <n v="8"/>
    <s v="10%"/>
    <n v="841.13"/>
    <x v="5"/>
    <x v="0"/>
  </r>
  <r>
    <s v="ORD1774"/>
    <d v="2025-05-25T00:00:00"/>
    <s v="Sneha Joshi"/>
    <x v="0"/>
    <s v="Delhi"/>
    <s v="Furniture"/>
    <s v="Chair"/>
    <s v="Office Chair"/>
    <n v="28893"/>
    <n v="3"/>
    <s v="15%"/>
    <n v="6770.84"/>
    <x v="3"/>
    <x v="0"/>
  </r>
  <r>
    <s v="ORD1775"/>
    <d v="2025-10-25T00:00:00"/>
    <s v="Rohit Gupta"/>
    <x v="0"/>
    <s v="Punjab"/>
    <s v="Office Supplies"/>
    <s v="Paper"/>
    <s v="A4 Paper Pack"/>
    <n v="74271"/>
    <n v="7"/>
    <s v="5%"/>
    <n v="5947.54"/>
    <x v="10"/>
    <x v="0"/>
  </r>
  <r>
    <s v="ORD1776"/>
    <d v="2025-04-25T00:00:00"/>
    <s v="Priya Verma"/>
    <x v="3"/>
    <s v="Maharashtra"/>
    <s v="Office Supplies"/>
    <s v="Binder"/>
    <s v="A4 Binder"/>
    <n v="39380"/>
    <n v="6"/>
    <s v="10%"/>
    <n v="3613.51"/>
    <x v="0"/>
    <x v="0"/>
  </r>
  <r>
    <s v="ORD1777"/>
    <d v="2025-04-05T00:00:00"/>
    <s v="Karan Patel"/>
    <x v="1"/>
    <s v="Bihar"/>
    <s v="Office Supplies"/>
    <s v="Binder"/>
    <s v="A4 Binder"/>
    <n v="33772"/>
    <n v="5"/>
    <s v="5%"/>
    <n v="7234.03"/>
    <x v="0"/>
    <x v="0"/>
  </r>
  <r>
    <s v="ORD1778"/>
    <d v="2025-11-08T00:00:00"/>
    <s v="Amit Kumar"/>
    <x v="2"/>
    <s v="Kerala"/>
    <s v="Furniture"/>
    <s v="Chair"/>
    <s v="Office Chair"/>
    <n v="63750"/>
    <n v="9"/>
    <s v="0%"/>
    <n v="6138.45"/>
    <x v="1"/>
    <x v="0"/>
  </r>
  <r>
    <s v="ORD1779"/>
    <d v="2025-11-17T00:00:00"/>
    <s v="Sneha Joshi"/>
    <x v="2"/>
    <s v="Karnataka"/>
    <s v="Technology"/>
    <s v="Laptop"/>
    <s v="HP Pavilion"/>
    <n v="8699"/>
    <n v="7"/>
    <s v="0%"/>
    <n v="794.7"/>
    <x v="1"/>
    <x v="0"/>
  </r>
  <r>
    <s v="ORD1780"/>
    <d v="2025-07-24T00:00:00"/>
    <s v="Amit Kumar"/>
    <x v="0"/>
    <s v="Delhi"/>
    <s v="Furniture"/>
    <s v="Chair"/>
    <s v="Office Chair"/>
    <n v="57251"/>
    <n v="3"/>
    <s v="10%"/>
    <n v="13020.35"/>
    <x v="4"/>
    <x v="0"/>
  </r>
  <r>
    <s v="ORD1781"/>
    <d v="2025-09-07T00:00:00"/>
    <s v="Karan Patel"/>
    <x v="1"/>
    <s v="Odisha"/>
    <s v="Technology"/>
    <s v="Mobile"/>
    <s v="Samsung Galaxy"/>
    <n v="40509"/>
    <n v="1"/>
    <s v="10%"/>
    <n v="7278.46"/>
    <x v="5"/>
    <x v="0"/>
  </r>
  <r>
    <s v="ORD1782"/>
    <d v="2025-12-26T00:00:00"/>
    <s v="Neha Singh"/>
    <x v="0"/>
    <s v="Delhi"/>
    <s v="Furniture"/>
    <s v="Bookcase"/>
    <s v="Wooden Bookcase"/>
    <n v="49842"/>
    <n v="3"/>
    <s v="5%"/>
    <n v="7467.13"/>
    <x v="7"/>
    <x v="0"/>
  </r>
  <r>
    <s v="ORD1783"/>
    <d v="2025-06-11T00:00:00"/>
    <s v="Priya Verma"/>
    <x v="3"/>
    <s v="Maharashtra"/>
    <s v="Office Supplies"/>
    <s v="Binder"/>
    <s v="A4 Binder"/>
    <n v="66252"/>
    <n v="10"/>
    <s v="15%"/>
    <n v="11253.43"/>
    <x v="9"/>
    <x v="0"/>
  </r>
  <r>
    <s v="ORD1784"/>
    <d v="2025-10-28T00:00:00"/>
    <s v="Anjali Mehta"/>
    <x v="0"/>
    <s v="Punjab"/>
    <s v="Office Supplies"/>
    <s v="Binder"/>
    <s v="A4 Binder"/>
    <n v="14808"/>
    <n v="6"/>
    <s v="20%"/>
    <n v="2358.96"/>
    <x v="10"/>
    <x v="0"/>
  </r>
  <r>
    <s v="ORD1785"/>
    <d v="2025-02-26T00:00:00"/>
    <s v="Anjali Mehta"/>
    <x v="3"/>
    <s v="Maharashtra"/>
    <s v="Technology"/>
    <s v="Accessories"/>
    <s v="Wireless Mouse"/>
    <n v="51472"/>
    <n v="2"/>
    <s v="20%"/>
    <n v="5312.99"/>
    <x v="11"/>
    <x v="0"/>
  </r>
  <r>
    <s v="ORD1786"/>
    <d v="2025-11-12T00:00:00"/>
    <s v="Rohit Gupta"/>
    <x v="0"/>
    <s v="Punjab"/>
    <s v="Office Supplies"/>
    <s v="Pen"/>
    <s v="Gel Pen Set"/>
    <n v="42039"/>
    <n v="5"/>
    <s v="0%"/>
    <n v="11155.75"/>
    <x v="1"/>
    <x v="0"/>
  </r>
  <r>
    <s v="ORD1787"/>
    <d v="2025-07-18T00:00:00"/>
    <s v="Sneha Joshi"/>
    <x v="2"/>
    <s v="Kerala"/>
    <s v="Technology"/>
    <s v="Laptop"/>
    <s v="HP Pavilion"/>
    <n v="60635"/>
    <n v="5"/>
    <s v="15%"/>
    <n v="9227.09"/>
    <x v="4"/>
    <x v="0"/>
  </r>
  <r>
    <s v="ORD1788"/>
    <d v="2025-08-08T00:00:00"/>
    <s v="Amit Kumar"/>
    <x v="3"/>
    <s v="Gujarat"/>
    <s v="Office Supplies"/>
    <s v="Paper"/>
    <s v="A4 Paper Pack"/>
    <n v="49397"/>
    <n v="6"/>
    <s v="10%"/>
    <n v="8042.1"/>
    <x v="2"/>
    <x v="0"/>
  </r>
  <r>
    <s v="ORD1789"/>
    <d v="2025-02-28T00:00:00"/>
    <s v="Arjun Rana"/>
    <x v="3"/>
    <s v="Maharashtra"/>
    <s v="Office Supplies"/>
    <s v="Binder"/>
    <s v="A4 Binder"/>
    <n v="68631"/>
    <n v="4"/>
    <s v="10%"/>
    <n v="5397.56"/>
    <x v="11"/>
    <x v="0"/>
  </r>
  <r>
    <s v="ORD1790"/>
    <d v="2025-05-30T00:00:00"/>
    <s v="Sneha Joshi"/>
    <x v="3"/>
    <s v="Rajasthan"/>
    <s v="Technology"/>
    <s v="Accessories"/>
    <s v="Wireless Mouse"/>
    <n v="23131"/>
    <n v="7"/>
    <s v="10%"/>
    <n v="4688.7299999999996"/>
    <x v="3"/>
    <x v="0"/>
  </r>
  <r>
    <s v="ORD1791"/>
    <d v="2025-07-07T00:00:00"/>
    <s v="Amit Kumar"/>
    <x v="2"/>
    <s v="Kerala"/>
    <s v="Technology"/>
    <s v="Mobile"/>
    <s v="Samsung Galaxy"/>
    <n v="78904"/>
    <n v="8"/>
    <s v="10%"/>
    <n v="13392.01"/>
    <x v="4"/>
    <x v="0"/>
  </r>
  <r>
    <s v="ORD1792"/>
    <d v="2025-06-22T00:00:00"/>
    <s v="Neha Singh"/>
    <x v="2"/>
    <s v="Tamil Nadu"/>
    <s v="Technology"/>
    <s v="Mobile"/>
    <s v="Samsung Galaxy"/>
    <n v="65022"/>
    <n v="2"/>
    <s v="20%"/>
    <n v="10153.93"/>
    <x v="9"/>
    <x v="0"/>
  </r>
  <r>
    <s v="ORD1793"/>
    <d v="2025-10-04T00:00:00"/>
    <s v="Simran Kaur"/>
    <x v="1"/>
    <s v="Bihar"/>
    <s v="Office Supplies"/>
    <s v="Paper"/>
    <s v="A4 Paper Pack"/>
    <n v="6157"/>
    <n v="9"/>
    <s v="10%"/>
    <n v="1639.92"/>
    <x v="10"/>
    <x v="0"/>
  </r>
  <r>
    <s v="ORD1794"/>
    <d v="2025-06-18T00:00:00"/>
    <s v="Rahul Sharma"/>
    <x v="2"/>
    <s v="Kerala"/>
    <s v="Office Supplies"/>
    <s v="Pen"/>
    <s v="Gel Pen Set"/>
    <n v="75594"/>
    <n v="6"/>
    <s v="0%"/>
    <n v="10667.95"/>
    <x v="9"/>
    <x v="0"/>
  </r>
  <r>
    <s v="ORD1795"/>
    <d v="2025-12-05T00:00:00"/>
    <s v="Anjali Mehta"/>
    <x v="3"/>
    <s v="Maharashtra"/>
    <s v="Furniture"/>
    <s v="Chair"/>
    <s v="Office Chair"/>
    <n v="5368"/>
    <n v="9"/>
    <s v="0%"/>
    <n v="621.57000000000005"/>
    <x v="7"/>
    <x v="0"/>
  </r>
  <r>
    <s v="ORD1796"/>
    <d v="2025-02-28T00:00:00"/>
    <s v="Arjun Rana"/>
    <x v="1"/>
    <s v="Odisha"/>
    <s v="Furniture"/>
    <s v="Chair"/>
    <s v="Office Chair"/>
    <n v="46075"/>
    <n v="8"/>
    <s v="5%"/>
    <n v="11530.59"/>
    <x v="11"/>
    <x v="0"/>
  </r>
  <r>
    <s v="ORD1797"/>
    <d v="2025-05-14T00:00:00"/>
    <s v="Amit Kumar"/>
    <x v="3"/>
    <s v="Gujarat"/>
    <s v="Office Supplies"/>
    <s v="Binder"/>
    <s v="A4 Binder"/>
    <n v="49879"/>
    <n v="1"/>
    <s v="10%"/>
    <n v="9434.5300000000007"/>
    <x v="3"/>
    <x v="0"/>
  </r>
  <r>
    <s v="ORD1798"/>
    <d v="2025-04-04T00:00:00"/>
    <s v="Rahul Sharma"/>
    <x v="1"/>
    <s v="West Bengal"/>
    <s v="Office Supplies"/>
    <s v="Paper"/>
    <s v="A4 Paper Pack"/>
    <n v="13826"/>
    <n v="1"/>
    <s v="0%"/>
    <n v="3746.05"/>
    <x v="0"/>
    <x v="0"/>
  </r>
  <r>
    <s v="ORD1799"/>
    <d v="2025-12-02T00:00:00"/>
    <s v="Rohit Gupta"/>
    <x v="0"/>
    <s v="Punjab"/>
    <s v="Technology"/>
    <s v="Laptop"/>
    <s v="HP Pavilion"/>
    <n v="11741"/>
    <n v="1"/>
    <s v="15%"/>
    <n v="2536.8200000000002"/>
    <x v="7"/>
    <x v="0"/>
  </r>
  <r>
    <s v="ORD1800"/>
    <d v="2025-02-01T00:00:00"/>
    <s v="Arjun Rana"/>
    <x v="3"/>
    <s v="Gujarat"/>
    <s v="Office Supplies"/>
    <s v="Paper"/>
    <s v="A4 Paper Pack"/>
    <n v="37310"/>
    <n v="8"/>
    <s v="5%"/>
    <n v="4818.2299999999996"/>
    <x v="11"/>
    <x v="0"/>
  </r>
  <r>
    <s v="ORD1801"/>
    <d v="2025-08-02T00:00:00"/>
    <s v="Karan Patel"/>
    <x v="0"/>
    <s v="Haryana"/>
    <s v="Office Supplies"/>
    <s v="Binder"/>
    <s v="A4 Binder"/>
    <n v="31953"/>
    <n v="7"/>
    <s v="5%"/>
    <n v="2443.0700000000002"/>
    <x v="2"/>
    <x v="0"/>
  </r>
  <r>
    <s v="ORD1802"/>
    <d v="2025-02-14T00:00:00"/>
    <s v="Simran Kaur"/>
    <x v="2"/>
    <s v="Kerala"/>
    <s v="Furniture"/>
    <s v="Chair"/>
    <s v="Office Chair"/>
    <n v="74365"/>
    <n v="2"/>
    <s v="10%"/>
    <n v="16360.46"/>
    <x v="11"/>
    <x v="0"/>
  </r>
  <r>
    <s v="ORD1803"/>
    <d v="2025-09-09T00:00:00"/>
    <s v="Rahul Sharma"/>
    <x v="1"/>
    <s v="Odisha"/>
    <s v="Furniture"/>
    <s v="Bookcase"/>
    <s v="Wooden Bookcase"/>
    <n v="11685"/>
    <n v="1"/>
    <s v="20%"/>
    <n v="1483"/>
    <x v="5"/>
    <x v="0"/>
  </r>
  <r>
    <s v="ORD1804"/>
    <d v="2025-09-16T00:00:00"/>
    <s v="Sneha Joshi"/>
    <x v="1"/>
    <s v="Odisha"/>
    <s v="Office Supplies"/>
    <s v="Binder"/>
    <s v="A4 Binder"/>
    <n v="1260"/>
    <n v="9"/>
    <s v="5%"/>
    <n v="188.08"/>
    <x v="5"/>
    <x v="0"/>
  </r>
  <r>
    <s v="ORD1805"/>
    <d v="2025-11-01T00:00:00"/>
    <s v="Rohit Gupta"/>
    <x v="1"/>
    <s v="Odisha"/>
    <s v="Office Supplies"/>
    <s v="Binder"/>
    <s v="A4 Binder"/>
    <n v="30119"/>
    <n v="10"/>
    <s v="0%"/>
    <n v="4524.5600000000004"/>
    <x v="1"/>
    <x v="0"/>
  </r>
  <r>
    <s v="ORD1806"/>
    <d v="2025-08-06T00:00:00"/>
    <s v="Anjali Mehta"/>
    <x v="1"/>
    <s v="Odisha"/>
    <s v="Furniture"/>
    <s v="Chair"/>
    <s v="Office Chair"/>
    <n v="26179"/>
    <n v="5"/>
    <s v="0%"/>
    <n v="2118.11"/>
    <x v="2"/>
    <x v="0"/>
  </r>
  <r>
    <s v="ORD1807"/>
    <d v="2025-01-05T00:00:00"/>
    <s v="Rahul Sharma"/>
    <x v="1"/>
    <s v="Bihar"/>
    <s v="Technology"/>
    <s v="Mobile"/>
    <s v="Samsung Galaxy"/>
    <n v="22203"/>
    <n v="3"/>
    <s v="15%"/>
    <n v="3859.63"/>
    <x v="8"/>
    <x v="0"/>
  </r>
  <r>
    <s v="ORD1808"/>
    <d v="2025-09-26T00:00:00"/>
    <s v="Anjali Mehta"/>
    <x v="1"/>
    <s v="West Bengal"/>
    <s v="Furniture"/>
    <s v="Chair"/>
    <s v="Office Chair"/>
    <n v="46694"/>
    <n v="5"/>
    <s v="20%"/>
    <n v="3653.7"/>
    <x v="5"/>
    <x v="0"/>
  </r>
  <r>
    <s v="ORD1809"/>
    <d v="2025-08-03T00:00:00"/>
    <s v="Priya Verma"/>
    <x v="2"/>
    <s v="Kerala"/>
    <s v="Technology"/>
    <s v="Accessories"/>
    <s v="Wireless Mouse"/>
    <n v="16187"/>
    <n v="3"/>
    <s v="20%"/>
    <n v="3204.12"/>
    <x v="2"/>
    <x v="0"/>
  </r>
  <r>
    <s v="ORD1810"/>
    <d v="2025-06-10T00:00:00"/>
    <s v="Rohit Gupta"/>
    <x v="3"/>
    <s v="Gujarat"/>
    <s v="Office Supplies"/>
    <s v="Pen"/>
    <s v="Gel Pen Set"/>
    <n v="69478"/>
    <n v="3"/>
    <s v="20%"/>
    <n v="13657.02"/>
    <x v="9"/>
    <x v="0"/>
  </r>
  <r>
    <s v="ORD1811"/>
    <d v="2025-10-30T00:00:00"/>
    <s v="Priya Verma"/>
    <x v="1"/>
    <s v="West Bengal"/>
    <s v="Office Supplies"/>
    <s v="Binder"/>
    <s v="A4 Binder"/>
    <n v="2676"/>
    <n v="3"/>
    <s v="5%"/>
    <n v="650.87"/>
    <x v="10"/>
    <x v="0"/>
  </r>
  <r>
    <s v="ORD1812"/>
    <d v="2025-09-01T00:00:00"/>
    <s v="Rahul Sharma"/>
    <x v="1"/>
    <s v="Bihar"/>
    <s v="Technology"/>
    <s v="Accessories"/>
    <s v="Wireless Mouse"/>
    <n v="70315"/>
    <n v="2"/>
    <s v="10%"/>
    <n v="9014.2999999999993"/>
    <x v="5"/>
    <x v="0"/>
  </r>
  <r>
    <s v="ORD1813"/>
    <d v="2025-11-04T00:00:00"/>
    <s v="Anjali Mehta"/>
    <x v="0"/>
    <s v="Delhi"/>
    <s v="Office Supplies"/>
    <s v="Binder"/>
    <s v="A4 Binder"/>
    <n v="68248"/>
    <n v="8"/>
    <s v="0%"/>
    <n v="7367.18"/>
    <x v="1"/>
    <x v="0"/>
  </r>
  <r>
    <s v="ORD1814"/>
    <d v="2025-03-07T00:00:00"/>
    <s v="Karan Patel"/>
    <x v="2"/>
    <s v="Tamil Nadu"/>
    <s v="Furniture"/>
    <s v="Table"/>
    <s v="Study Table"/>
    <n v="25293"/>
    <n v="10"/>
    <s v="20%"/>
    <n v="3142.67"/>
    <x v="6"/>
    <x v="0"/>
  </r>
  <r>
    <s v="ORD1815"/>
    <d v="2025-03-15T00:00:00"/>
    <s v="Simran Kaur"/>
    <x v="1"/>
    <s v="West Bengal"/>
    <s v="Technology"/>
    <s v="Laptop"/>
    <s v="HP Pavilion"/>
    <n v="14855"/>
    <n v="9"/>
    <s v="15%"/>
    <n v="2580.7600000000002"/>
    <x v="6"/>
    <x v="0"/>
  </r>
  <r>
    <s v="ORD1816"/>
    <d v="2025-05-23T00:00:00"/>
    <s v="Rahul Sharma"/>
    <x v="0"/>
    <s v="Punjab"/>
    <s v="Office Supplies"/>
    <s v="Pen"/>
    <s v="Gel Pen Set"/>
    <n v="25611"/>
    <n v="5"/>
    <s v="5%"/>
    <n v="6866.19"/>
    <x v="3"/>
    <x v="0"/>
  </r>
  <r>
    <s v="ORD1817"/>
    <d v="2025-05-13T00:00:00"/>
    <s v="Amit Kumar"/>
    <x v="0"/>
    <s v="Punjab"/>
    <s v="Furniture"/>
    <s v="Table"/>
    <s v="Study Table"/>
    <n v="62338"/>
    <n v="5"/>
    <s v="10%"/>
    <n v="15523.67"/>
    <x v="3"/>
    <x v="0"/>
  </r>
  <r>
    <s v="ORD1818"/>
    <d v="2025-05-12T00:00:00"/>
    <s v="Neha Singh"/>
    <x v="2"/>
    <s v="Kerala"/>
    <s v="Furniture"/>
    <s v="Chair"/>
    <s v="Office Chair"/>
    <n v="49373"/>
    <n v="9"/>
    <s v="15%"/>
    <n v="12552.67"/>
    <x v="3"/>
    <x v="0"/>
  </r>
  <r>
    <s v="ORD1819"/>
    <d v="2025-01-12T00:00:00"/>
    <s v="Priya Verma"/>
    <x v="0"/>
    <s v="Delhi"/>
    <s v="Technology"/>
    <s v="Mobile"/>
    <s v="Samsung Galaxy"/>
    <n v="1425"/>
    <n v="1"/>
    <s v="0%"/>
    <n v="253.63"/>
    <x v="8"/>
    <x v="0"/>
  </r>
  <r>
    <s v="ORD1820"/>
    <d v="2025-06-19T00:00:00"/>
    <s v="Karan Patel"/>
    <x v="1"/>
    <s v="Odisha"/>
    <s v="Office Supplies"/>
    <s v="Paper"/>
    <s v="A4 Paper Pack"/>
    <n v="18208"/>
    <n v="5"/>
    <s v="15%"/>
    <n v="2408.5700000000002"/>
    <x v="9"/>
    <x v="0"/>
  </r>
  <r>
    <s v="ORD1821"/>
    <d v="2025-07-29T00:00:00"/>
    <s v="Karan Patel"/>
    <x v="0"/>
    <s v="Delhi"/>
    <s v="Furniture"/>
    <s v="Table"/>
    <s v="Study Table"/>
    <n v="18254"/>
    <n v="5"/>
    <s v="15%"/>
    <n v="2175.0700000000002"/>
    <x v="4"/>
    <x v="0"/>
  </r>
  <r>
    <s v="ORD1822"/>
    <d v="2025-04-07T00:00:00"/>
    <s v="Neha Singh"/>
    <x v="0"/>
    <s v="Delhi"/>
    <s v="Office Supplies"/>
    <s v="Paper"/>
    <s v="A4 Paper Pack"/>
    <n v="50474"/>
    <n v="7"/>
    <s v="5%"/>
    <n v="8628.31"/>
    <x v="0"/>
    <x v="0"/>
  </r>
  <r>
    <s v="ORD1823"/>
    <d v="2025-05-24T00:00:00"/>
    <s v="Sneha Joshi"/>
    <x v="1"/>
    <s v="Bihar"/>
    <s v="Office Supplies"/>
    <s v="Binder"/>
    <s v="A4 Binder"/>
    <n v="18647"/>
    <n v="9"/>
    <s v="0%"/>
    <n v="2476"/>
    <x v="3"/>
    <x v="0"/>
  </r>
  <r>
    <s v="ORD1824"/>
    <d v="2025-11-24T00:00:00"/>
    <s v="Simran Kaur"/>
    <x v="1"/>
    <s v="Odisha"/>
    <s v="Office Supplies"/>
    <s v="Paper"/>
    <s v="A4 Paper Pack"/>
    <n v="66431"/>
    <n v="10"/>
    <s v="10%"/>
    <n v="15315.42"/>
    <x v="1"/>
    <x v="0"/>
  </r>
  <r>
    <s v="ORD1825"/>
    <d v="2025-06-09T00:00:00"/>
    <s v="Priya Verma"/>
    <x v="2"/>
    <s v="Kerala"/>
    <s v="Office Supplies"/>
    <s v="Pen"/>
    <s v="Gel Pen Set"/>
    <n v="79339"/>
    <n v="9"/>
    <s v="20%"/>
    <n v="14901.35"/>
    <x v="9"/>
    <x v="0"/>
  </r>
  <r>
    <s v="ORD1826"/>
    <d v="2025-08-17T00:00:00"/>
    <s v="Rohit Gupta"/>
    <x v="2"/>
    <s v="Tamil Nadu"/>
    <s v="Technology"/>
    <s v="Laptop"/>
    <s v="HP Pavilion"/>
    <n v="52217"/>
    <n v="5"/>
    <s v="0%"/>
    <n v="14588.11"/>
    <x v="2"/>
    <x v="0"/>
  </r>
  <r>
    <s v="ORD1827"/>
    <d v="2025-02-25T00:00:00"/>
    <s v="Sneha Joshi"/>
    <x v="0"/>
    <s v="Punjab"/>
    <s v="Furniture"/>
    <s v="Bookcase"/>
    <s v="Wooden Bookcase"/>
    <n v="20865"/>
    <n v="4"/>
    <s v="15%"/>
    <n v="3219.92"/>
    <x v="11"/>
    <x v="0"/>
  </r>
  <r>
    <s v="ORD1828"/>
    <d v="2025-12-15T00:00:00"/>
    <s v="Sneha Joshi"/>
    <x v="2"/>
    <s v="Karnataka"/>
    <s v="Office Supplies"/>
    <s v="Paper"/>
    <s v="A4 Paper Pack"/>
    <n v="48265"/>
    <n v="1"/>
    <s v="0%"/>
    <n v="6890.96"/>
    <x v="7"/>
    <x v="0"/>
  </r>
  <r>
    <s v="ORD1829"/>
    <d v="2025-12-27T00:00:00"/>
    <s v="Priya Verma"/>
    <x v="1"/>
    <s v="West Bengal"/>
    <s v="Office Supplies"/>
    <s v="Paper"/>
    <s v="A4 Paper Pack"/>
    <n v="49739"/>
    <n v="10"/>
    <s v="5%"/>
    <n v="11011.23"/>
    <x v="7"/>
    <x v="0"/>
  </r>
  <r>
    <s v="ORD1830"/>
    <d v="2025-07-08T00:00:00"/>
    <s v="Priya Verma"/>
    <x v="3"/>
    <s v="Rajasthan"/>
    <s v="Office Supplies"/>
    <s v="Pen"/>
    <s v="Gel Pen Set"/>
    <n v="40594"/>
    <n v="3"/>
    <s v="15%"/>
    <n v="10657.6"/>
    <x v="4"/>
    <x v="0"/>
  </r>
  <r>
    <s v="ORD1831"/>
    <d v="2025-02-14T00:00:00"/>
    <s v="Amit Kumar"/>
    <x v="2"/>
    <s v="Kerala"/>
    <s v="Technology"/>
    <s v="Mobile"/>
    <s v="Samsung Galaxy"/>
    <n v="12978"/>
    <n v="7"/>
    <s v="10%"/>
    <n v="3119.05"/>
    <x v="11"/>
    <x v="0"/>
  </r>
  <r>
    <s v="ORD1832"/>
    <d v="2025-06-05T00:00:00"/>
    <s v="Sneha Joshi"/>
    <x v="2"/>
    <s v="Karnataka"/>
    <s v="Office Supplies"/>
    <s v="Binder"/>
    <s v="A4 Binder"/>
    <n v="44069"/>
    <n v="7"/>
    <s v="10%"/>
    <n v="4320.1099999999997"/>
    <x v="9"/>
    <x v="0"/>
  </r>
  <r>
    <s v="ORD1833"/>
    <d v="2025-05-13T00:00:00"/>
    <s v="Rahul Sharma"/>
    <x v="0"/>
    <s v="Haryana"/>
    <s v="Technology"/>
    <s v="Accessories"/>
    <s v="Wireless Mouse"/>
    <n v="3886"/>
    <n v="4"/>
    <s v="15%"/>
    <n v="447.43"/>
    <x v="3"/>
    <x v="0"/>
  </r>
  <r>
    <s v="ORD1834"/>
    <d v="2025-03-21T00:00:00"/>
    <s v="Anjali Mehta"/>
    <x v="1"/>
    <s v="Odisha"/>
    <s v="Furniture"/>
    <s v="Table"/>
    <s v="Study Table"/>
    <n v="1448"/>
    <n v="10"/>
    <s v="5%"/>
    <n v="388.48"/>
    <x v="6"/>
    <x v="0"/>
  </r>
  <r>
    <s v="ORD1835"/>
    <d v="2025-12-16T00:00:00"/>
    <s v="Anjali Mehta"/>
    <x v="3"/>
    <s v="Rajasthan"/>
    <s v="Technology"/>
    <s v="Mobile"/>
    <s v="Samsung Galaxy"/>
    <n v="24312"/>
    <n v="7"/>
    <s v="10%"/>
    <n v="2280.96"/>
    <x v="7"/>
    <x v="0"/>
  </r>
  <r>
    <s v="ORD1836"/>
    <d v="2025-11-03T00:00:00"/>
    <s v="Rahul Sharma"/>
    <x v="0"/>
    <s v="Delhi"/>
    <s v="Furniture"/>
    <s v="Bookcase"/>
    <s v="Wooden Bookcase"/>
    <n v="46794"/>
    <n v="8"/>
    <s v="20%"/>
    <n v="5875.48"/>
    <x v="1"/>
    <x v="0"/>
  </r>
  <r>
    <s v="ORD1837"/>
    <d v="2025-04-22T00:00:00"/>
    <s v="Rahul Sharma"/>
    <x v="0"/>
    <s v="Delhi"/>
    <s v="Technology"/>
    <s v="Laptop"/>
    <s v="HP Pavilion"/>
    <n v="77388"/>
    <n v="5"/>
    <s v="15%"/>
    <n v="11489.52"/>
    <x v="0"/>
    <x v="0"/>
  </r>
  <r>
    <s v="ORD1838"/>
    <d v="2025-01-25T00:00:00"/>
    <s v="Anjali Mehta"/>
    <x v="2"/>
    <s v="Tamil Nadu"/>
    <s v="Furniture"/>
    <s v="Table"/>
    <s v="Study Table"/>
    <n v="76275"/>
    <n v="1"/>
    <s v="10%"/>
    <n v="11798.22"/>
    <x v="8"/>
    <x v="0"/>
  </r>
  <r>
    <s v="ORD1839"/>
    <d v="2025-05-29T00:00:00"/>
    <s v="Priya Verma"/>
    <x v="1"/>
    <s v="Odisha"/>
    <s v="Furniture"/>
    <s v="Table"/>
    <s v="Study Table"/>
    <n v="64533"/>
    <n v="8"/>
    <s v="20%"/>
    <n v="13576.95"/>
    <x v="3"/>
    <x v="0"/>
  </r>
  <r>
    <s v="ORD1840"/>
    <d v="2025-01-19T00:00:00"/>
    <s v="Amit Kumar"/>
    <x v="1"/>
    <s v="West Bengal"/>
    <s v="Furniture"/>
    <s v="Table"/>
    <s v="Study Table"/>
    <n v="21764"/>
    <n v="5"/>
    <s v="0%"/>
    <n v="3209.39"/>
    <x v="8"/>
    <x v="0"/>
  </r>
  <r>
    <s v="ORD1841"/>
    <d v="2025-12-31T00:00:00"/>
    <s v="Anjali Mehta"/>
    <x v="3"/>
    <s v="Gujarat"/>
    <s v="Office Supplies"/>
    <s v="Paper"/>
    <s v="A4 Paper Pack"/>
    <n v="24046"/>
    <n v="1"/>
    <s v="15%"/>
    <n v="4992.67"/>
    <x v="7"/>
    <x v="0"/>
  </r>
  <r>
    <s v="ORD1842"/>
    <d v="2025-03-15T00:00:00"/>
    <s v="Rohit Gupta"/>
    <x v="2"/>
    <s v="Tamil Nadu"/>
    <s v="Technology"/>
    <s v="Laptop"/>
    <s v="HP Pavilion"/>
    <n v="2221"/>
    <n v="7"/>
    <s v="5%"/>
    <n v="556.58000000000004"/>
    <x v="6"/>
    <x v="0"/>
  </r>
  <r>
    <s v="ORD1843"/>
    <d v="2025-03-14T00:00:00"/>
    <s v="Amit Kumar"/>
    <x v="0"/>
    <s v="Haryana"/>
    <s v="Furniture"/>
    <s v="Table"/>
    <s v="Study Table"/>
    <n v="13943"/>
    <n v="9"/>
    <s v="15%"/>
    <n v="3576.65"/>
    <x v="6"/>
    <x v="0"/>
  </r>
  <r>
    <s v="ORD1844"/>
    <d v="2025-10-25T00:00:00"/>
    <s v="Amit Kumar"/>
    <x v="2"/>
    <s v="Tamil Nadu"/>
    <s v="Furniture"/>
    <s v="Table"/>
    <s v="Study Table"/>
    <n v="38348"/>
    <n v="6"/>
    <s v="0%"/>
    <n v="4919.28"/>
    <x v="10"/>
    <x v="0"/>
  </r>
  <r>
    <s v="ORD1845"/>
    <d v="2025-05-21T00:00:00"/>
    <s v="Sneha Joshi"/>
    <x v="0"/>
    <s v="Delhi"/>
    <s v="Technology"/>
    <s v="Mobile"/>
    <s v="Samsung Galaxy"/>
    <n v="53317"/>
    <n v="2"/>
    <s v="20%"/>
    <n v="9501.93"/>
    <x v="3"/>
    <x v="0"/>
  </r>
  <r>
    <s v="ORD1846"/>
    <d v="2025-12-12T00:00:00"/>
    <s v="Anjali Mehta"/>
    <x v="3"/>
    <s v="Gujarat"/>
    <s v="Furniture"/>
    <s v="Chair"/>
    <s v="Office Chair"/>
    <n v="60924"/>
    <n v="3"/>
    <s v="15%"/>
    <n v="9780.1200000000008"/>
    <x v="7"/>
    <x v="0"/>
  </r>
  <r>
    <s v="ORD1847"/>
    <d v="2025-10-23T00:00:00"/>
    <s v="Amit Kumar"/>
    <x v="3"/>
    <s v="Gujarat"/>
    <s v="Technology"/>
    <s v="Mobile"/>
    <s v="Samsung Galaxy"/>
    <n v="79200"/>
    <n v="10"/>
    <s v="0%"/>
    <n v="7706.42"/>
    <x v="10"/>
    <x v="0"/>
  </r>
  <r>
    <s v="ORD1848"/>
    <d v="2025-02-10T00:00:00"/>
    <s v="Rahul Sharma"/>
    <x v="3"/>
    <s v="Gujarat"/>
    <s v="Furniture"/>
    <s v="Bookcase"/>
    <s v="Wooden Bookcase"/>
    <n v="37274"/>
    <n v="8"/>
    <s v="0%"/>
    <n v="3896.81"/>
    <x v="11"/>
    <x v="0"/>
  </r>
  <r>
    <s v="ORD1849"/>
    <d v="2025-05-11T00:00:00"/>
    <s v="Rahul Sharma"/>
    <x v="2"/>
    <s v="Kerala"/>
    <s v="Office Supplies"/>
    <s v="Binder"/>
    <s v="A4 Binder"/>
    <n v="21298"/>
    <n v="8"/>
    <s v="20%"/>
    <n v="4799.29"/>
    <x v="3"/>
    <x v="0"/>
  </r>
  <r>
    <s v="ORD1850"/>
    <d v="2025-03-17T00:00:00"/>
    <s v="Karan Patel"/>
    <x v="3"/>
    <s v="Rajasthan"/>
    <s v="Office Supplies"/>
    <s v="Pen"/>
    <s v="Gel Pen Set"/>
    <n v="6351"/>
    <n v="6"/>
    <s v="10%"/>
    <n v="1382.69"/>
    <x v="6"/>
    <x v="0"/>
  </r>
  <r>
    <s v="ORD1851"/>
    <d v="2025-05-25T00:00:00"/>
    <s v="Amit Kumar"/>
    <x v="1"/>
    <s v="Odisha"/>
    <s v="Technology"/>
    <s v="Laptop"/>
    <s v="HP Pavilion"/>
    <n v="41774"/>
    <n v="4"/>
    <s v="20%"/>
    <n v="5263.9"/>
    <x v="3"/>
    <x v="0"/>
  </r>
  <r>
    <s v="ORD1852"/>
    <d v="2025-07-19T00:00:00"/>
    <s v="Amit Kumar"/>
    <x v="1"/>
    <s v="Odisha"/>
    <s v="Technology"/>
    <s v="Accessories"/>
    <s v="Wireless Mouse"/>
    <n v="18228"/>
    <n v="2"/>
    <s v="0%"/>
    <n v="1734.18"/>
    <x v="4"/>
    <x v="0"/>
  </r>
  <r>
    <s v="ORD1853"/>
    <d v="2025-06-24T00:00:00"/>
    <s v="Karan Patel"/>
    <x v="3"/>
    <s v="Maharashtra"/>
    <s v="Technology"/>
    <s v="Mobile"/>
    <s v="Samsung Galaxy"/>
    <n v="17302"/>
    <n v="7"/>
    <s v="15%"/>
    <n v="3357.75"/>
    <x v="9"/>
    <x v="0"/>
  </r>
  <r>
    <s v="ORD1854"/>
    <d v="2025-04-18T00:00:00"/>
    <s v="Rohit Gupta"/>
    <x v="3"/>
    <s v="Rajasthan"/>
    <s v="Furniture"/>
    <s v="Table"/>
    <s v="Study Table"/>
    <n v="11038"/>
    <n v="8"/>
    <s v="0%"/>
    <n v="3019.87"/>
    <x v="0"/>
    <x v="0"/>
  </r>
  <r>
    <s v="ORD1855"/>
    <d v="2025-01-29T00:00:00"/>
    <s v="Rohit Gupta"/>
    <x v="1"/>
    <s v="Odisha"/>
    <s v="Office Supplies"/>
    <s v="Paper"/>
    <s v="A4 Paper Pack"/>
    <n v="35337"/>
    <n v="5"/>
    <s v="0%"/>
    <n v="5588.64"/>
    <x v="8"/>
    <x v="0"/>
  </r>
  <r>
    <s v="ORD1856"/>
    <d v="2025-04-09T00:00:00"/>
    <s v="Sneha Joshi"/>
    <x v="3"/>
    <s v="Maharashtra"/>
    <s v="Furniture"/>
    <s v="Table"/>
    <s v="Study Table"/>
    <n v="38199"/>
    <n v="1"/>
    <s v="10%"/>
    <n v="8041.74"/>
    <x v="0"/>
    <x v="0"/>
  </r>
  <r>
    <s v="ORD1857"/>
    <d v="2025-02-24T00:00:00"/>
    <s v="Neha Singh"/>
    <x v="2"/>
    <s v="Kerala"/>
    <s v="Furniture"/>
    <s v="Bookcase"/>
    <s v="Wooden Bookcase"/>
    <n v="9080"/>
    <n v="2"/>
    <s v="15%"/>
    <n v="1887.39"/>
    <x v="11"/>
    <x v="0"/>
  </r>
  <r>
    <s v="ORD1858"/>
    <d v="2025-08-25T00:00:00"/>
    <s v="Karan Patel"/>
    <x v="3"/>
    <s v="Rajasthan"/>
    <s v="Furniture"/>
    <s v="Chair"/>
    <s v="Office Chair"/>
    <n v="16887"/>
    <n v="2"/>
    <s v="0%"/>
    <n v="2144.63"/>
    <x v="2"/>
    <x v="0"/>
  </r>
  <r>
    <s v="ORD1859"/>
    <d v="2025-08-25T00:00:00"/>
    <s v="Arjun Rana"/>
    <x v="0"/>
    <s v="Delhi"/>
    <s v="Technology"/>
    <s v="Laptop"/>
    <s v="HP Pavilion"/>
    <n v="48883"/>
    <n v="3"/>
    <s v="15%"/>
    <n v="10195.23"/>
    <x v="2"/>
    <x v="0"/>
  </r>
  <r>
    <s v="ORD1860"/>
    <d v="2025-01-03T00:00:00"/>
    <s v="Arjun Rana"/>
    <x v="0"/>
    <s v="Punjab"/>
    <s v="Office Supplies"/>
    <s v="Pen"/>
    <s v="Gel Pen Set"/>
    <n v="69533"/>
    <n v="10"/>
    <s v="0%"/>
    <n v="17610.189999999999"/>
    <x v="8"/>
    <x v="0"/>
  </r>
  <r>
    <s v="ORD1861"/>
    <d v="2025-08-10T00:00:00"/>
    <s v="Karan Patel"/>
    <x v="2"/>
    <s v="Karnataka"/>
    <s v="Furniture"/>
    <s v="Table"/>
    <s v="Study Table"/>
    <n v="4511"/>
    <n v="5"/>
    <s v="20%"/>
    <n v="1007.52"/>
    <x v="2"/>
    <x v="0"/>
  </r>
  <r>
    <s v="ORD1862"/>
    <d v="2025-06-06T00:00:00"/>
    <s v="Priya Verma"/>
    <x v="2"/>
    <s v="Kerala"/>
    <s v="Furniture"/>
    <s v="Table"/>
    <s v="Study Table"/>
    <n v="51766"/>
    <n v="4"/>
    <s v="5%"/>
    <n v="9621.1"/>
    <x v="9"/>
    <x v="0"/>
  </r>
  <r>
    <s v="ORD1863"/>
    <d v="2025-06-06T00:00:00"/>
    <s v="Karan Patel"/>
    <x v="0"/>
    <s v="Punjab"/>
    <s v="Furniture"/>
    <s v="Table"/>
    <s v="Study Table"/>
    <n v="19178"/>
    <n v="8"/>
    <s v="20%"/>
    <n v="1645.29"/>
    <x v="9"/>
    <x v="0"/>
  </r>
  <r>
    <s v="ORD1864"/>
    <d v="2025-04-29T00:00:00"/>
    <s v="Neha Singh"/>
    <x v="3"/>
    <s v="Gujarat"/>
    <s v="Furniture"/>
    <s v="Table"/>
    <s v="Study Table"/>
    <n v="12061"/>
    <n v="3"/>
    <s v="5%"/>
    <n v="2153.12"/>
    <x v="0"/>
    <x v="0"/>
  </r>
  <r>
    <s v="ORD1865"/>
    <d v="2025-12-26T00:00:00"/>
    <s v="Neha Singh"/>
    <x v="2"/>
    <s v="Karnataka"/>
    <s v="Technology"/>
    <s v="Laptop"/>
    <s v="HP Pavilion"/>
    <n v="72912"/>
    <n v="6"/>
    <s v="20%"/>
    <n v="11238.86"/>
    <x v="7"/>
    <x v="0"/>
  </r>
  <r>
    <s v="ORD1866"/>
    <d v="2025-04-21T00:00:00"/>
    <s v="Rohit Gupta"/>
    <x v="3"/>
    <s v="Maharashtra"/>
    <s v="Furniture"/>
    <s v="Table"/>
    <s v="Study Table"/>
    <n v="58919"/>
    <n v="2"/>
    <s v="5%"/>
    <n v="8094.6"/>
    <x v="0"/>
    <x v="0"/>
  </r>
  <r>
    <s v="ORD1867"/>
    <d v="2025-08-11T00:00:00"/>
    <s v="Anjali Mehta"/>
    <x v="1"/>
    <s v="Odisha"/>
    <s v="Office Supplies"/>
    <s v="Paper"/>
    <s v="A4 Paper Pack"/>
    <n v="22976"/>
    <n v="8"/>
    <s v="10%"/>
    <n v="2208.64"/>
    <x v="2"/>
    <x v="0"/>
  </r>
  <r>
    <s v="ORD1868"/>
    <d v="2025-02-01T00:00:00"/>
    <s v="Karan Patel"/>
    <x v="3"/>
    <s v="Rajasthan"/>
    <s v="Office Supplies"/>
    <s v="Pen"/>
    <s v="Gel Pen Set"/>
    <n v="77916"/>
    <n v="3"/>
    <s v="5%"/>
    <n v="20944.57"/>
    <x v="11"/>
    <x v="0"/>
  </r>
  <r>
    <s v="ORD1869"/>
    <d v="2025-09-09T00:00:00"/>
    <s v="Amit Kumar"/>
    <x v="3"/>
    <s v="Maharashtra"/>
    <s v="Office Supplies"/>
    <s v="Binder"/>
    <s v="A4 Binder"/>
    <n v="55345"/>
    <n v="4"/>
    <s v="10%"/>
    <n v="7480.9"/>
    <x v="5"/>
    <x v="0"/>
  </r>
  <r>
    <s v="ORD1870"/>
    <d v="2025-06-21T00:00:00"/>
    <s v="Neha Singh"/>
    <x v="2"/>
    <s v="Kerala"/>
    <s v="Office Supplies"/>
    <s v="Binder"/>
    <s v="A4 Binder"/>
    <n v="15636"/>
    <n v="9"/>
    <s v="20%"/>
    <n v="1887.87"/>
    <x v="9"/>
    <x v="0"/>
  </r>
  <r>
    <s v="ORD1871"/>
    <d v="2025-03-07T00:00:00"/>
    <s v="Neha Singh"/>
    <x v="0"/>
    <s v="Haryana"/>
    <s v="Furniture"/>
    <s v="Chair"/>
    <s v="Office Chair"/>
    <n v="74570"/>
    <n v="10"/>
    <s v="5%"/>
    <n v="11133.39"/>
    <x v="6"/>
    <x v="0"/>
  </r>
  <r>
    <s v="ORD1872"/>
    <d v="2025-01-28T00:00:00"/>
    <s v="Karan Patel"/>
    <x v="0"/>
    <s v="Punjab"/>
    <s v="Office Supplies"/>
    <s v="Pen"/>
    <s v="Gel Pen Set"/>
    <n v="32445"/>
    <n v="4"/>
    <s v="15%"/>
    <n v="5126.8100000000004"/>
    <x v="8"/>
    <x v="0"/>
  </r>
  <r>
    <s v="ORD1873"/>
    <d v="2025-03-18T00:00:00"/>
    <s v="Sneha Joshi"/>
    <x v="2"/>
    <s v="Kerala"/>
    <s v="Technology"/>
    <s v="Accessories"/>
    <s v="Wireless Mouse"/>
    <n v="18611"/>
    <n v="9"/>
    <s v="20%"/>
    <n v="4458.42"/>
    <x v="6"/>
    <x v="0"/>
  </r>
  <r>
    <s v="ORD1874"/>
    <d v="2025-09-26T00:00:00"/>
    <s v="Arjun Rana"/>
    <x v="2"/>
    <s v="Tamil Nadu"/>
    <s v="Technology"/>
    <s v="Laptop"/>
    <s v="HP Pavilion"/>
    <n v="25613"/>
    <n v="4"/>
    <s v="20%"/>
    <n v="3640.71"/>
    <x v="5"/>
    <x v="0"/>
  </r>
  <r>
    <s v="ORD1875"/>
    <d v="2025-02-14T00:00:00"/>
    <s v="Rahul Sharma"/>
    <x v="2"/>
    <s v="Kerala"/>
    <s v="Office Supplies"/>
    <s v="Paper"/>
    <s v="A4 Paper Pack"/>
    <n v="79855"/>
    <n v="3"/>
    <s v="5%"/>
    <n v="21181.25"/>
    <x v="11"/>
    <x v="0"/>
  </r>
  <r>
    <s v="ORD1876"/>
    <d v="2025-02-27T00:00:00"/>
    <s v="Simran Kaur"/>
    <x v="0"/>
    <s v="Haryana"/>
    <s v="Technology"/>
    <s v="Laptop"/>
    <s v="HP Pavilion"/>
    <n v="74196"/>
    <n v="5"/>
    <s v="5%"/>
    <n v="14777.66"/>
    <x v="11"/>
    <x v="0"/>
  </r>
  <r>
    <s v="ORD1877"/>
    <d v="2025-10-26T00:00:00"/>
    <s v="Neha Singh"/>
    <x v="2"/>
    <s v="Kerala"/>
    <s v="Furniture"/>
    <s v="Table"/>
    <s v="Study Table"/>
    <n v="16672"/>
    <n v="9"/>
    <s v="20%"/>
    <n v="1700.19"/>
    <x v="10"/>
    <x v="0"/>
  </r>
  <r>
    <s v="ORD1878"/>
    <d v="2025-05-21T00:00:00"/>
    <s v="Amit Kumar"/>
    <x v="2"/>
    <s v="Kerala"/>
    <s v="Office Supplies"/>
    <s v="Paper"/>
    <s v="A4 Paper Pack"/>
    <n v="12949"/>
    <n v="10"/>
    <s v="5%"/>
    <n v="1207.49"/>
    <x v="3"/>
    <x v="0"/>
  </r>
  <r>
    <s v="ORD1879"/>
    <d v="2025-07-19T00:00:00"/>
    <s v="Rahul Sharma"/>
    <x v="2"/>
    <s v="Kerala"/>
    <s v="Office Supplies"/>
    <s v="Paper"/>
    <s v="A4 Paper Pack"/>
    <n v="65412"/>
    <n v="9"/>
    <s v="15%"/>
    <n v="7960.12"/>
    <x v="4"/>
    <x v="0"/>
  </r>
  <r>
    <s v="ORD1880"/>
    <d v="2025-02-11T00:00:00"/>
    <s v="Amit Kumar"/>
    <x v="0"/>
    <s v="Punjab"/>
    <s v="Furniture"/>
    <s v="Chair"/>
    <s v="Office Chair"/>
    <n v="29727"/>
    <n v="1"/>
    <s v="15%"/>
    <n v="3132.85"/>
    <x v="11"/>
    <x v="0"/>
  </r>
  <r>
    <s v="ORD1881"/>
    <d v="2025-01-19T00:00:00"/>
    <s v="Arjun Rana"/>
    <x v="3"/>
    <s v="Rajasthan"/>
    <s v="Technology"/>
    <s v="Laptop"/>
    <s v="HP Pavilion"/>
    <n v="49123"/>
    <n v="7"/>
    <s v="20%"/>
    <n v="5468.48"/>
    <x v="8"/>
    <x v="0"/>
  </r>
  <r>
    <s v="ORD1882"/>
    <d v="2025-08-07T00:00:00"/>
    <s v="Sneha Joshi"/>
    <x v="0"/>
    <s v="Delhi"/>
    <s v="Furniture"/>
    <s v="Table"/>
    <s v="Study Table"/>
    <n v="28544"/>
    <n v="3"/>
    <s v="0%"/>
    <n v="6002.93"/>
    <x v="2"/>
    <x v="0"/>
  </r>
  <r>
    <s v="ORD1883"/>
    <d v="2025-01-02T00:00:00"/>
    <s v="Arjun Rana"/>
    <x v="0"/>
    <s v="Haryana"/>
    <s v="Technology"/>
    <s v="Laptop"/>
    <s v="HP Pavilion"/>
    <n v="66832"/>
    <n v="7"/>
    <s v="10%"/>
    <n v="12892.74"/>
    <x v="8"/>
    <x v="0"/>
  </r>
  <r>
    <s v="ORD1884"/>
    <d v="2025-10-18T00:00:00"/>
    <s v="Karan Patel"/>
    <x v="0"/>
    <s v="Delhi"/>
    <s v="Technology"/>
    <s v="Laptop"/>
    <s v="HP Pavilion"/>
    <n v="36214"/>
    <n v="6"/>
    <s v="0%"/>
    <n v="5924.71"/>
    <x v="10"/>
    <x v="0"/>
  </r>
  <r>
    <s v="ORD1885"/>
    <d v="2025-01-19T00:00:00"/>
    <s v="Karan Patel"/>
    <x v="0"/>
    <s v="Haryana"/>
    <s v="Furniture"/>
    <s v="Bookcase"/>
    <s v="Wooden Bookcase"/>
    <n v="55685"/>
    <n v="7"/>
    <s v="0%"/>
    <n v="11371.2"/>
    <x v="8"/>
    <x v="0"/>
  </r>
  <r>
    <s v="ORD1886"/>
    <d v="2025-08-18T00:00:00"/>
    <s v="Rahul Sharma"/>
    <x v="2"/>
    <s v="Karnataka"/>
    <s v="Office Supplies"/>
    <s v="Paper"/>
    <s v="A4 Paper Pack"/>
    <n v="71172"/>
    <n v="4"/>
    <s v="5%"/>
    <n v="5859.75"/>
    <x v="2"/>
    <x v="0"/>
  </r>
  <r>
    <s v="ORD1887"/>
    <d v="2025-08-18T00:00:00"/>
    <s v="Rohit Gupta"/>
    <x v="1"/>
    <s v="West Bengal"/>
    <s v="Technology"/>
    <s v="Accessories"/>
    <s v="Wireless Mouse"/>
    <n v="45752"/>
    <n v="4"/>
    <s v="20%"/>
    <n v="8450.98"/>
    <x v="2"/>
    <x v="0"/>
  </r>
  <r>
    <s v="ORD1888"/>
    <d v="2025-05-30T00:00:00"/>
    <s v="Anjali Mehta"/>
    <x v="0"/>
    <s v="Punjab"/>
    <s v="Furniture"/>
    <s v="Table"/>
    <s v="Study Table"/>
    <n v="17857"/>
    <n v="4"/>
    <s v="10%"/>
    <n v="3240.93"/>
    <x v="3"/>
    <x v="0"/>
  </r>
  <r>
    <s v="ORD1889"/>
    <d v="2025-05-03T00:00:00"/>
    <s v="Karan Patel"/>
    <x v="2"/>
    <s v="Karnataka"/>
    <s v="Furniture"/>
    <s v="Bookcase"/>
    <s v="Wooden Bookcase"/>
    <n v="4498"/>
    <n v="2"/>
    <s v="0%"/>
    <n v="506.89"/>
    <x v="3"/>
    <x v="0"/>
  </r>
  <r>
    <s v="ORD1890"/>
    <d v="2025-12-11T00:00:00"/>
    <s v="Simran Kaur"/>
    <x v="1"/>
    <s v="West Bengal"/>
    <s v="Office Supplies"/>
    <s v="Paper"/>
    <s v="A4 Paper Pack"/>
    <n v="52124"/>
    <n v="2"/>
    <s v="15%"/>
    <n v="6033.99"/>
    <x v="7"/>
    <x v="0"/>
  </r>
  <r>
    <s v="ORD1891"/>
    <d v="2025-03-17T00:00:00"/>
    <s v="Neha Singh"/>
    <x v="3"/>
    <s v="Rajasthan"/>
    <s v="Technology"/>
    <s v="Laptop"/>
    <s v="HP Pavilion"/>
    <n v="42501"/>
    <n v="9"/>
    <s v="0%"/>
    <n v="6804.85"/>
    <x v="6"/>
    <x v="0"/>
  </r>
  <r>
    <s v="ORD1892"/>
    <d v="2025-11-21T00:00:00"/>
    <s v="Rohit Gupta"/>
    <x v="2"/>
    <s v="Tamil Nadu"/>
    <s v="Furniture"/>
    <s v="Chair"/>
    <s v="Office Chair"/>
    <n v="40176"/>
    <n v="4"/>
    <s v="15%"/>
    <n v="5344.57"/>
    <x v="1"/>
    <x v="0"/>
  </r>
  <r>
    <s v="ORD1893"/>
    <d v="2025-01-18T00:00:00"/>
    <s v="Karan Patel"/>
    <x v="3"/>
    <s v="Maharashtra"/>
    <s v="Office Supplies"/>
    <s v="Binder"/>
    <s v="A4 Binder"/>
    <n v="39222"/>
    <n v="7"/>
    <s v="15%"/>
    <n v="5240.71"/>
    <x v="8"/>
    <x v="0"/>
  </r>
  <r>
    <s v="ORD1894"/>
    <d v="2025-03-26T00:00:00"/>
    <s v="Neha Singh"/>
    <x v="0"/>
    <s v="Delhi"/>
    <s v="Furniture"/>
    <s v="Table"/>
    <s v="Study Table"/>
    <n v="47562"/>
    <n v="4"/>
    <s v="5%"/>
    <n v="9282.26"/>
    <x v="6"/>
    <x v="0"/>
  </r>
  <r>
    <s v="ORD1895"/>
    <d v="2025-02-26T00:00:00"/>
    <s v="Simran Kaur"/>
    <x v="1"/>
    <s v="West Bengal"/>
    <s v="Office Supplies"/>
    <s v="Paper"/>
    <s v="A4 Paper Pack"/>
    <n v="60577"/>
    <n v="3"/>
    <s v="20%"/>
    <n v="10041.36"/>
    <x v="11"/>
    <x v="0"/>
  </r>
  <r>
    <s v="ORD1896"/>
    <d v="2025-10-02T00:00:00"/>
    <s v="Karan Patel"/>
    <x v="2"/>
    <s v="Tamil Nadu"/>
    <s v="Technology"/>
    <s v="Mobile"/>
    <s v="Samsung Galaxy"/>
    <n v="74100"/>
    <n v="8"/>
    <s v="20%"/>
    <n v="18478.14"/>
    <x v="10"/>
    <x v="0"/>
  </r>
  <r>
    <s v="ORD1897"/>
    <d v="2025-10-11T00:00:00"/>
    <s v="Sneha Joshi"/>
    <x v="1"/>
    <s v="West Bengal"/>
    <s v="Technology"/>
    <s v="Accessories"/>
    <s v="Wireless Mouse"/>
    <n v="14901"/>
    <n v="2"/>
    <s v="5%"/>
    <n v="3467.67"/>
    <x v="10"/>
    <x v="0"/>
  </r>
  <r>
    <s v="ORD1898"/>
    <d v="2025-02-15T00:00:00"/>
    <s v="Priya Verma"/>
    <x v="2"/>
    <s v="Karnataka"/>
    <s v="Office Supplies"/>
    <s v="Binder"/>
    <s v="A4 Binder"/>
    <n v="22140"/>
    <n v="1"/>
    <s v="10%"/>
    <n v="4167.8"/>
    <x v="11"/>
    <x v="0"/>
  </r>
  <r>
    <s v="ORD1899"/>
    <d v="2025-10-23T00:00:00"/>
    <s v="Rohit Gupta"/>
    <x v="2"/>
    <s v="Kerala"/>
    <s v="Furniture"/>
    <s v="Chair"/>
    <s v="Office Chair"/>
    <n v="18018"/>
    <n v="10"/>
    <s v="10%"/>
    <n v="4612.3599999999997"/>
    <x v="10"/>
    <x v="0"/>
  </r>
  <r>
    <s v="ORD1900"/>
    <d v="2025-10-22T00:00:00"/>
    <s v="Karan Patel"/>
    <x v="0"/>
    <s v="Haryana"/>
    <s v="Office Supplies"/>
    <s v="Paper"/>
    <s v="A4 Paper Pack"/>
    <n v="64212"/>
    <n v="7"/>
    <s v="20%"/>
    <n v="13588.44"/>
    <x v="10"/>
    <x v="0"/>
  </r>
  <r>
    <s v="ORD1901"/>
    <d v="2025-08-22T00:00:00"/>
    <s v="Neha Singh"/>
    <x v="0"/>
    <s v="Delhi"/>
    <s v="Technology"/>
    <s v="Laptop"/>
    <s v="HP Pavilion"/>
    <n v="74577"/>
    <n v="2"/>
    <s v="0%"/>
    <n v="19065.3"/>
    <x v="2"/>
    <x v="0"/>
  </r>
  <r>
    <s v="ORD1902"/>
    <d v="2025-05-12T00:00:00"/>
    <s v="Rahul Sharma"/>
    <x v="0"/>
    <s v="Haryana"/>
    <s v="Office Supplies"/>
    <s v="Paper"/>
    <s v="A4 Paper Pack"/>
    <n v="25607"/>
    <n v="2"/>
    <s v="10%"/>
    <n v="4060.74"/>
    <x v="3"/>
    <x v="0"/>
  </r>
  <r>
    <s v="ORD1903"/>
    <d v="2025-03-25T00:00:00"/>
    <s v="Priya Verma"/>
    <x v="3"/>
    <s v="Gujarat"/>
    <s v="Office Supplies"/>
    <s v="Pen"/>
    <s v="Gel Pen Set"/>
    <n v="35361"/>
    <n v="8"/>
    <s v="20%"/>
    <n v="7878.16"/>
    <x v="6"/>
    <x v="0"/>
  </r>
  <r>
    <s v="ORD1904"/>
    <d v="2025-12-26T00:00:00"/>
    <s v="Priya Verma"/>
    <x v="1"/>
    <s v="West Bengal"/>
    <s v="Office Supplies"/>
    <s v="Pen"/>
    <s v="Gel Pen Set"/>
    <n v="64989"/>
    <n v="6"/>
    <s v="15%"/>
    <n v="14188.67"/>
    <x v="7"/>
    <x v="0"/>
  </r>
  <r>
    <s v="ORD1905"/>
    <d v="2025-07-27T00:00:00"/>
    <s v="Simran Kaur"/>
    <x v="0"/>
    <s v="Haryana"/>
    <s v="Furniture"/>
    <s v="Bookcase"/>
    <s v="Wooden Bookcase"/>
    <n v="15525"/>
    <n v="1"/>
    <s v="15%"/>
    <n v="4035.03"/>
    <x v="4"/>
    <x v="0"/>
  </r>
  <r>
    <s v="ORD1906"/>
    <d v="2025-12-30T00:00:00"/>
    <s v="Simran Kaur"/>
    <x v="0"/>
    <s v="Haryana"/>
    <s v="Furniture"/>
    <s v="Table"/>
    <s v="Study Table"/>
    <n v="36530"/>
    <n v="3"/>
    <s v="15%"/>
    <n v="7548.82"/>
    <x v="7"/>
    <x v="0"/>
  </r>
  <r>
    <s v="ORD1907"/>
    <d v="2025-07-06T00:00:00"/>
    <s v="Priya Verma"/>
    <x v="1"/>
    <s v="Bihar"/>
    <s v="Technology"/>
    <s v="Laptop"/>
    <s v="HP Pavilion"/>
    <n v="11177"/>
    <n v="2"/>
    <s v="5%"/>
    <n v="2912.49"/>
    <x v="4"/>
    <x v="0"/>
  </r>
  <r>
    <s v="ORD1908"/>
    <d v="2025-10-24T00:00:00"/>
    <s v="Simran Kaur"/>
    <x v="3"/>
    <s v="Maharashtra"/>
    <s v="Furniture"/>
    <s v="Bookcase"/>
    <s v="Wooden Bookcase"/>
    <n v="69077"/>
    <n v="9"/>
    <s v="0%"/>
    <n v="6618.56"/>
    <x v="10"/>
    <x v="0"/>
  </r>
  <r>
    <s v="ORD1909"/>
    <d v="2025-03-06T00:00:00"/>
    <s v="Amit Kumar"/>
    <x v="1"/>
    <s v="Bihar"/>
    <s v="Technology"/>
    <s v="Mobile"/>
    <s v="Samsung Galaxy"/>
    <n v="67492"/>
    <n v="9"/>
    <s v="10%"/>
    <n v="8726.86"/>
    <x v="6"/>
    <x v="0"/>
  </r>
  <r>
    <s v="ORD1910"/>
    <d v="2025-03-16T00:00:00"/>
    <s v="Priya Verma"/>
    <x v="3"/>
    <s v="Gujarat"/>
    <s v="Furniture"/>
    <s v="Chair"/>
    <s v="Office Chair"/>
    <n v="76153"/>
    <n v="7"/>
    <s v="20%"/>
    <n v="17949.5"/>
    <x v="6"/>
    <x v="0"/>
  </r>
  <r>
    <s v="ORD1911"/>
    <d v="2025-07-26T00:00:00"/>
    <s v="Anjali Mehta"/>
    <x v="1"/>
    <s v="Odisha"/>
    <s v="Furniture"/>
    <s v="Chair"/>
    <s v="Office Chair"/>
    <n v="19741"/>
    <n v="6"/>
    <s v="15%"/>
    <n v="3079.91"/>
    <x v="4"/>
    <x v="0"/>
  </r>
  <r>
    <s v="ORD1912"/>
    <d v="2025-10-19T00:00:00"/>
    <s v="Rahul Sharma"/>
    <x v="2"/>
    <s v="Kerala"/>
    <s v="Furniture"/>
    <s v="Table"/>
    <s v="Study Table"/>
    <n v="55042"/>
    <n v="7"/>
    <s v="20%"/>
    <n v="13965.33"/>
    <x v="10"/>
    <x v="0"/>
  </r>
  <r>
    <s v="ORD1913"/>
    <d v="2025-12-26T00:00:00"/>
    <s v="Priya Verma"/>
    <x v="2"/>
    <s v="Tamil Nadu"/>
    <s v="Furniture"/>
    <s v="Bookcase"/>
    <s v="Wooden Bookcase"/>
    <n v="63288"/>
    <n v="1"/>
    <s v="10%"/>
    <n v="6876.35"/>
    <x v="7"/>
    <x v="0"/>
  </r>
  <r>
    <s v="ORD1914"/>
    <d v="2025-12-02T00:00:00"/>
    <s v="Neha Singh"/>
    <x v="2"/>
    <s v="Tamil Nadu"/>
    <s v="Technology"/>
    <s v="Mobile"/>
    <s v="Samsung Galaxy"/>
    <n v="20598"/>
    <n v="10"/>
    <s v="15%"/>
    <n v="3889.08"/>
    <x v="7"/>
    <x v="0"/>
  </r>
  <r>
    <s v="ORD1915"/>
    <d v="2025-08-23T00:00:00"/>
    <s v="Rahul Sharma"/>
    <x v="1"/>
    <s v="Bihar"/>
    <s v="Technology"/>
    <s v="Laptop"/>
    <s v="HP Pavilion"/>
    <n v="74122"/>
    <n v="3"/>
    <s v="5%"/>
    <n v="9609.73"/>
    <x v="2"/>
    <x v="0"/>
  </r>
  <r>
    <s v="ORD1916"/>
    <d v="2025-11-27T00:00:00"/>
    <s v="Amit Kumar"/>
    <x v="1"/>
    <s v="Bihar"/>
    <s v="Office Supplies"/>
    <s v="Binder"/>
    <s v="A4 Binder"/>
    <n v="28687"/>
    <n v="9"/>
    <s v="15%"/>
    <n v="5911.61"/>
    <x v="1"/>
    <x v="0"/>
  </r>
  <r>
    <s v="ORD1917"/>
    <d v="2025-03-25T00:00:00"/>
    <s v="Simran Kaur"/>
    <x v="0"/>
    <s v="Delhi"/>
    <s v="Technology"/>
    <s v="Laptop"/>
    <s v="HP Pavilion"/>
    <n v="66392"/>
    <n v="5"/>
    <s v="10%"/>
    <n v="7242.66"/>
    <x v="6"/>
    <x v="0"/>
  </r>
  <r>
    <s v="ORD1918"/>
    <d v="2025-07-19T00:00:00"/>
    <s v="Rohit Gupta"/>
    <x v="0"/>
    <s v="Delhi"/>
    <s v="Office Supplies"/>
    <s v="Paper"/>
    <s v="A4 Paper Pack"/>
    <n v="71295"/>
    <n v="8"/>
    <s v="15%"/>
    <n v="9928.27"/>
    <x v="4"/>
    <x v="0"/>
  </r>
  <r>
    <s v="ORD1919"/>
    <d v="2025-08-03T00:00:00"/>
    <s v="Rahul Sharma"/>
    <x v="2"/>
    <s v="Karnataka"/>
    <s v="Furniture"/>
    <s v="Chair"/>
    <s v="Office Chair"/>
    <n v="684"/>
    <n v="1"/>
    <s v="15%"/>
    <n v="130.11000000000001"/>
    <x v="2"/>
    <x v="0"/>
  </r>
  <r>
    <s v="ORD1920"/>
    <d v="2025-07-19T00:00:00"/>
    <s v="Anjali Mehta"/>
    <x v="2"/>
    <s v="Kerala"/>
    <s v="Furniture"/>
    <s v="Chair"/>
    <s v="Office Chair"/>
    <n v="45652"/>
    <n v="6"/>
    <s v="15%"/>
    <n v="4255.5600000000004"/>
    <x v="4"/>
    <x v="0"/>
  </r>
  <r>
    <s v="ORD1921"/>
    <d v="2025-11-08T00:00:00"/>
    <s v="Karan Patel"/>
    <x v="1"/>
    <s v="West Bengal"/>
    <s v="Office Supplies"/>
    <s v="Binder"/>
    <s v="A4 Binder"/>
    <n v="11639"/>
    <n v="7"/>
    <s v="5%"/>
    <n v="1730.2"/>
    <x v="1"/>
    <x v="0"/>
  </r>
  <r>
    <s v="ORD1922"/>
    <d v="2025-10-31T00:00:00"/>
    <s v="Rahul Sharma"/>
    <x v="2"/>
    <s v="Tamil Nadu"/>
    <s v="Office Supplies"/>
    <s v="Pen"/>
    <s v="Gel Pen Set"/>
    <n v="16576"/>
    <n v="6"/>
    <s v="10%"/>
    <n v="1229.8399999999999"/>
    <x v="10"/>
    <x v="0"/>
  </r>
  <r>
    <s v="ORD1923"/>
    <d v="2025-04-24T00:00:00"/>
    <s v="Priya Verma"/>
    <x v="2"/>
    <s v="Karnataka"/>
    <s v="Technology"/>
    <s v="Accessories"/>
    <s v="Wireless Mouse"/>
    <n v="1667"/>
    <n v="7"/>
    <s v="15%"/>
    <n v="418.31"/>
    <x v="0"/>
    <x v="0"/>
  </r>
  <r>
    <s v="ORD1924"/>
    <d v="2025-04-12T00:00:00"/>
    <s v="Simran Kaur"/>
    <x v="2"/>
    <s v="Karnataka"/>
    <s v="Office Supplies"/>
    <s v="Paper"/>
    <s v="A4 Paper Pack"/>
    <n v="27762"/>
    <n v="9"/>
    <s v="20%"/>
    <n v="4543.0200000000004"/>
    <x v="0"/>
    <x v="0"/>
  </r>
  <r>
    <s v="ORD1925"/>
    <d v="2025-04-30T00:00:00"/>
    <s v="Simran Kaur"/>
    <x v="3"/>
    <s v="Rajasthan"/>
    <s v="Office Supplies"/>
    <s v="Pen"/>
    <s v="Gel Pen Set"/>
    <n v="45071"/>
    <n v="2"/>
    <s v="0%"/>
    <n v="9978.66"/>
    <x v="0"/>
    <x v="0"/>
  </r>
  <r>
    <s v="ORD1926"/>
    <d v="2025-02-25T00:00:00"/>
    <s v="Rohit Gupta"/>
    <x v="3"/>
    <s v="Rajasthan"/>
    <s v="Technology"/>
    <s v="Accessories"/>
    <s v="Wireless Mouse"/>
    <n v="36366"/>
    <n v="5"/>
    <s v="0%"/>
    <n v="4703.95"/>
    <x v="11"/>
    <x v="0"/>
  </r>
  <r>
    <s v="ORD1927"/>
    <d v="2025-02-14T00:00:00"/>
    <s v="Simran Kaur"/>
    <x v="2"/>
    <s v="Kerala"/>
    <s v="Furniture"/>
    <s v="Bookcase"/>
    <s v="Wooden Bookcase"/>
    <n v="74723"/>
    <n v="9"/>
    <s v="0%"/>
    <n v="13925.07"/>
    <x v="11"/>
    <x v="0"/>
  </r>
  <r>
    <s v="ORD1928"/>
    <d v="2025-12-21T00:00:00"/>
    <s v="Priya Verma"/>
    <x v="2"/>
    <s v="Kerala"/>
    <s v="Furniture"/>
    <s v="Bookcase"/>
    <s v="Wooden Bookcase"/>
    <n v="30952"/>
    <n v="4"/>
    <s v="5%"/>
    <n v="5637.56"/>
    <x v="7"/>
    <x v="0"/>
  </r>
  <r>
    <s v="ORD1929"/>
    <d v="2025-03-31T00:00:00"/>
    <s v="Rahul Sharma"/>
    <x v="0"/>
    <s v="Haryana"/>
    <s v="Technology"/>
    <s v="Mobile"/>
    <s v="Samsung Galaxy"/>
    <n v="48631"/>
    <n v="5"/>
    <s v="15%"/>
    <n v="12062.48"/>
    <x v="6"/>
    <x v="0"/>
  </r>
  <r>
    <s v="ORD1930"/>
    <d v="2025-08-24T00:00:00"/>
    <s v="Priya Verma"/>
    <x v="1"/>
    <s v="Bihar"/>
    <s v="Office Supplies"/>
    <s v="Pen"/>
    <s v="Gel Pen Set"/>
    <n v="36471"/>
    <n v="3"/>
    <s v="10%"/>
    <n v="4549.47"/>
    <x v="2"/>
    <x v="0"/>
  </r>
  <r>
    <s v="ORD1931"/>
    <d v="2025-08-30T00:00:00"/>
    <s v="Arjun Rana"/>
    <x v="2"/>
    <s v="Kerala"/>
    <s v="Technology"/>
    <s v="Mobile"/>
    <s v="Samsung Galaxy"/>
    <n v="42199"/>
    <n v="3"/>
    <s v="5%"/>
    <n v="5786.81"/>
    <x v="2"/>
    <x v="0"/>
  </r>
  <r>
    <s v="ORD1932"/>
    <d v="2025-05-18T00:00:00"/>
    <s v="Anjali Mehta"/>
    <x v="3"/>
    <s v="Rajasthan"/>
    <s v="Furniture"/>
    <s v="Chair"/>
    <s v="Office Chair"/>
    <n v="45657"/>
    <n v="10"/>
    <s v="10%"/>
    <n v="5807.33"/>
    <x v="3"/>
    <x v="0"/>
  </r>
  <r>
    <s v="ORD1933"/>
    <d v="2025-12-27T00:00:00"/>
    <s v="Amit Kumar"/>
    <x v="1"/>
    <s v="West Bengal"/>
    <s v="Furniture"/>
    <s v="Table"/>
    <s v="Study Table"/>
    <n v="60035"/>
    <n v="8"/>
    <s v="0%"/>
    <n v="16092.7"/>
    <x v="7"/>
    <x v="0"/>
  </r>
  <r>
    <s v="ORD1934"/>
    <d v="2025-08-20T00:00:00"/>
    <s v="Neha Singh"/>
    <x v="3"/>
    <s v="Rajasthan"/>
    <s v="Furniture"/>
    <s v="Bookcase"/>
    <s v="Wooden Bookcase"/>
    <n v="50218"/>
    <n v="2"/>
    <s v="20%"/>
    <n v="8354.6200000000008"/>
    <x v="2"/>
    <x v="0"/>
  </r>
  <r>
    <s v="ORD1935"/>
    <d v="2025-05-27T00:00:00"/>
    <s v="Rohit Gupta"/>
    <x v="2"/>
    <s v="Karnataka"/>
    <s v="Technology"/>
    <s v="Accessories"/>
    <s v="Wireless Mouse"/>
    <n v="53688"/>
    <n v="3"/>
    <s v="15%"/>
    <n v="3864.2"/>
    <x v="3"/>
    <x v="0"/>
  </r>
  <r>
    <s v="ORD1936"/>
    <d v="2025-01-21T00:00:00"/>
    <s v="Amit Kumar"/>
    <x v="0"/>
    <s v="Haryana"/>
    <s v="Technology"/>
    <s v="Laptop"/>
    <s v="HP Pavilion"/>
    <n v="42289"/>
    <n v="8"/>
    <s v="5%"/>
    <n v="6916.69"/>
    <x v="8"/>
    <x v="0"/>
  </r>
  <r>
    <s v="ORD1937"/>
    <d v="2025-04-30T00:00:00"/>
    <s v="Neha Singh"/>
    <x v="1"/>
    <s v="Odisha"/>
    <s v="Furniture"/>
    <s v="Chair"/>
    <s v="Office Chair"/>
    <n v="21999"/>
    <n v="4"/>
    <s v="20%"/>
    <n v="4883.8599999999997"/>
    <x v="0"/>
    <x v="0"/>
  </r>
  <r>
    <s v="ORD1938"/>
    <d v="2025-03-07T00:00:00"/>
    <s v="Priya Verma"/>
    <x v="2"/>
    <s v="Tamil Nadu"/>
    <s v="Furniture"/>
    <s v="Table"/>
    <s v="Study Table"/>
    <n v="64827"/>
    <n v="3"/>
    <s v="20%"/>
    <n v="11605.01"/>
    <x v="6"/>
    <x v="0"/>
  </r>
  <r>
    <s v="ORD1939"/>
    <d v="2025-06-06T00:00:00"/>
    <s v="Simran Kaur"/>
    <x v="2"/>
    <s v="Karnataka"/>
    <s v="Technology"/>
    <s v="Laptop"/>
    <s v="HP Pavilion"/>
    <n v="29906"/>
    <n v="8"/>
    <s v="10%"/>
    <n v="4055.2"/>
    <x v="9"/>
    <x v="0"/>
  </r>
  <r>
    <s v="ORD1940"/>
    <d v="2025-07-30T00:00:00"/>
    <s v="Rohit Gupta"/>
    <x v="3"/>
    <s v="Rajasthan"/>
    <s v="Technology"/>
    <s v="Mobile"/>
    <s v="Samsung Galaxy"/>
    <n v="14020"/>
    <n v="3"/>
    <s v="20%"/>
    <n v="2839.35"/>
    <x v="4"/>
    <x v="0"/>
  </r>
  <r>
    <s v="ORD1941"/>
    <d v="2025-02-10T00:00:00"/>
    <s v="Neha Singh"/>
    <x v="0"/>
    <s v="Punjab"/>
    <s v="Furniture"/>
    <s v="Bookcase"/>
    <s v="Wooden Bookcase"/>
    <n v="69085"/>
    <n v="8"/>
    <s v="0%"/>
    <n v="14009.84"/>
    <x v="11"/>
    <x v="0"/>
  </r>
  <r>
    <s v="ORD1942"/>
    <d v="2025-04-21T00:00:00"/>
    <s v="Rohit Gupta"/>
    <x v="0"/>
    <s v="Delhi"/>
    <s v="Furniture"/>
    <s v="Bookcase"/>
    <s v="Wooden Bookcase"/>
    <n v="2370"/>
    <n v="2"/>
    <s v="0%"/>
    <n v="422.64"/>
    <x v="0"/>
    <x v="0"/>
  </r>
  <r>
    <s v="ORD1943"/>
    <d v="2025-02-13T00:00:00"/>
    <s v="Simran Kaur"/>
    <x v="1"/>
    <s v="Odisha"/>
    <s v="Technology"/>
    <s v="Accessories"/>
    <s v="Wireless Mouse"/>
    <n v="54999"/>
    <n v="10"/>
    <s v="0%"/>
    <n v="12957.84"/>
    <x v="11"/>
    <x v="0"/>
  </r>
  <r>
    <s v="ORD1944"/>
    <d v="2025-05-30T00:00:00"/>
    <s v="Priya Verma"/>
    <x v="2"/>
    <s v="Tamil Nadu"/>
    <s v="Furniture"/>
    <s v="Chair"/>
    <s v="Office Chair"/>
    <n v="23511"/>
    <n v="5"/>
    <s v="15%"/>
    <n v="3177.07"/>
    <x v="3"/>
    <x v="0"/>
  </r>
  <r>
    <s v="ORD1945"/>
    <d v="2025-01-25T00:00:00"/>
    <s v="Rahul Sharma"/>
    <x v="0"/>
    <s v="Haryana"/>
    <s v="Technology"/>
    <s v="Accessories"/>
    <s v="Wireless Mouse"/>
    <n v="63720"/>
    <n v="7"/>
    <s v="0%"/>
    <n v="17790.43"/>
    <x v="8"/>
    <x v="0"/>
  </r>
  <r>
    <s v="ORD1946"/>
    <d v="2025-08-28T00:00:00"/>
    <s v="Priya Verma"/>
    <x v="0"/>
    <s v="Punjab"/>
    <s v="Office Supplies"/>
    <s v="Paper"/>
    <s v="A4 Paper Pack"/>
    <n v="65234"/>
    <n v="6"/>
    <s v="5%"/>
    <n v="9582.86"/>
    <x v="2"/>
    <x v="0"/>
  </r>
  <r>
    <s v="ORD1947"/>
    <d v="2025-05-20T00:00:00"/>
    <s v="Neha Singh"/>
    <x v="1"/>
    <s v="West Bengal"/>
    <s v="Technology"/>
    <s v="Laptop"/>
    <s v="HP Pavilion"/>
    <n v="69868"/>
    <n v="7"/>
    <s v="10%"/>
    <n v="8834.7800000000007"/>
    <x v="3"/>
    <x v="0"/>
  </r>
  <r>
    <s v="ORD1948"/>
    <d v="2025-06-15T00:00:00"/>
    <s v="Anjali Mehta"/>
    <x v="0"/>
    <s v="Delhi"/>
    <s v="Furniture"/>
    <s v="Table"/>
    <s v="Study Table"/>
    <n v="66037"/>
    <n v="4"/>
    <s v="20%"/>
    <n v="14721.6"/>
    <x v="9"/>
    <x v="0"/>
  </r>
  <r>
    <s v="ORD1949"/>
    <d v="2025-01-25T00:00:00"/>
    <s v="Priya Verma"/>
    <x v="3"/>
    <s v="Maharashtra"/>
    <s v="Office Supplies"/>
    <s v="Binder"/>
    <s v="A4 Binder"/>
    <n v="49875"/>
    <n v="8"/>
    <s v="0%"/>
    <n v="6700.43"/>
    <x v="8"/>
    <x v="0"/>
  </r>
  <r>
    <s v="ORD1950"/>
    <d v="2025-06-19T00:00:00"/>
    <s v="Rohit Gupta"/>
    <x v="0"/>
    <s v="Haryana"/>
    <s v="Technology"/>
    <s v="Laptop"/>
    <s v="HP Pavilion"/>
    <n v="75436"/>
    <n v="5"/>
    <s v="20%"/>
    <n v="13533.75"/>
    <x v="9"/>
    <x v="0"/>
  </r>
  <r>
    <s v="ORD1951"/>
    <d v="2025-05-08T00:00:00"/>
    <s v="Rahul Sharma"/>
    <x v="2"/>
    <s v="Kerala"/>
    <s v="Office Supplies"/>
    <s v="Binder"/>
    <s v="A4 Binder"/>
    <n v="63771"/>
    <n v="7"/>
    <s v="20%"/>
    <n v="11555.6"/>
    <x v="3"/>
    <x v="0"/>
  </r>
  <r>
    <s v="ORD1952"/>
    <d v="2025-08-10T00:00:00"/>
    <s v="Rohit Gupta"/>
    <x v="2"/>
    <s v="Tamil Nadu"/>
    <s v="Office Supplies"/>
    <s v="Binder"/>
    <s v="A4 Binder"/>
    <n v="52427"/>
    <n v="1"/>
    <s v="0%"/>
    <n v="7621.91"/>
    <x v="2"/>
    <x v="0"/>
  </r>
  <r>
    <s v="ORD1953"/>
    <d v="2025-07-22T00:00:00"/>
    <s v="Arjun Rana"/>
    <x v="1"/>
    <s v="Bihar"/>
    <s v="Office Supplies"/>
    <s v="Paper"/>
    <s v="A4 Paper Pack"/>
    <n v="72053"/>
    <n v="10"/>
    <s v="0%"/>
    <n v="14841.49"/>
    <x v="4"/>
    <x v="0"/>
  </r>
  <r>
    <s v="ORD1954"/>
    <d v="2025-07-29T00:00:00"/>
    <s v="Neha Singh"/>
    <x v="2"/>
    <s v="Karnataka"/>
    <s v="Technology"/>
    <s v="Accessories"/>
    <s v="Wireless Mouse"/>
    <n v="68365"/>
    <n v="10"/>
    <s v="5%"/>
    <n v="14320.9"/>
    <x v="4"/>
    <x v="0"/>
  </r>
  <r>
    <s v="ORD1955"/>
    <d v="2025-05-27T00:00:00"/>
    <s v="Anjali Mehta"/>
    <x v="0"/>
    <s v="Delhi"/>
    <s v="Furniture"/>
    <s v="Bookcase"/>
    <s v="Wooden Bookcase"/>
    <n v="70144"/>
    <n v="7"/>
    <s v="15%"/>
    <n v="14355.95"/>
    <x v="3"/>
    <x v="0"/>
  </r>
  <r>
    <s v="ORD1956"/>
    <d v="2025-07-13T00:00:00"/>
    <s v="Karan Patel"/>
    <x v="1"/>
    <s v="Odisha"/>
    <s v="Technology"/>
    <s v="Laptop"/>
    <s v="HP Pavilion"/>
    <n v="47756"/>
    <n v="1"/>
    <s v="0%"/>
    <n v="8475.08"/>
    <x v="4"/>
    <x v="0"/>
  </r>
  <r>
    <s v="ORD1957"/>
    <d v="2025-02-18T00:00:00"/>
    <s v="Simran Kaur"/>
    <x v="0"/>
    <s v="Punjab"/>
    <s v="Office Supplies"/>
    <s v="Pen"/>
    <s v="Gel Pen Set"/>
    <n v="75619"/>
    <n v="9"/>
    <s v="15%"/>
    <n v="10115.549999999999"/>
    <x v="11"/>
    <x v="0"/>
  </r>
  <r>
    <s v="ORD1958"/>
    <d v="2025-09-05T00:00:00"/>
    <s v="Rahul Sharma"/>
    <x v="3"/>
    <s v="Gujarat"/>
    <s v="Technology"/>
    <s v="Laptop"/>
    <s v="HP Pavilion"/>
    <n v="67091"/>
    <n v="9"/>
    <s v="5%"/>
    <n v="10759.21"/>
    <x v="5"/>
    <x v="0"/>
  </r>
  <r>
    <s v="ORD1959"/>
    <d v="2025-08-13T00:00:00"/>
    <s v="Anjali Mehta"/>
    <x v="3"/>
    <s v="Gujarat"/>
    <s v="Office Supplies"/>
    <s v="Paper"/>
    <s v="A4 Paper Pack"/>
    <n v="13919"/>
    <n v="1"/>
    <s v="10%"/>
    <n v="1435.2"/>
    <x v="2"/>
    <x v="0"/>
  </r>
  <r>
    <s v="ORD1960"/>
    <d v="2025-10-08T00:00:00"/>
    <s v="Neha Singh"/>
    <x v="0"/>
    <s v="Haryana"/>
    <s v="Technology"/>
    <s v="Laptop"/>
    <s v="HP Pavilion"/>
    <n v="71824"/>
    <n v="6"/>
    <s v="0%"/>
    <n v="13012.68"/>
    <x v="10"/>
    <x v="0"/>
  </r>
  <r>
    <s v="ORD1961"/>
    <d v="2025-08-11T00:00:00"/>
    <s v="Anjali Mehta"/>
    <x v="1"/>
    <s v="Odisha"/>
    <s v="Technology"/>
    <s v="Accessories"/>
    <s v="Wireless Mouse"/>
    <n v="10398"/>
    <n v="9"/>
    <s v="10%"/>
    <n v="2091.16"/>
    <x v="2"/>
    <x v="0"/>
  </r>
  <r>
    <s v="ORD1962"/>
    <d v="2025-09-21T00:00:00"/>
    <s v="Anjali Mehta"/>
    <x v="1"/>
    <s v="Odisha"/>
    <s v="Furniture"/>
    <s v="Bookcase"/>
    <s v="Wooden Bookcase"/>
    <n v="657"/>
    <n v="1"/>
    <s v="10%"/>
    <n v="164.06"/>
    <x v="5"/>
    <x v="0"/>
  </r>
  <r>
    <s v="ORD1963"/>
    <d v="2025-07-18T00:00:00"/>
    <s v="Anjali Mehta"/>
    <x v="2"/>
    <s v="Tamil Nadu"/>
    <s v="Furniture"/>
    <s v="Table"/>
    <s v="Study Table"/>
    <n v="62007"/>
    <n v="5"/>
    <s v="5%"/>
    <n v="5396.29"/>
    <x v="4"/>
    <x v="0"/>
  </r>
  <r>
    <s v="ORD1964"/>
    <d v="2025-02-20T00:00:00"/>
    <s v="Rahul Sharma"/>
    <x v="1"/>
    <s v="Bihar"/>
    <s v="Technology"/>
    <s v="Laptop"/>
    <s v="HP Pavilion"/>
    <n v="6035"/>
    <n v="5"/>
    <s v="15%"/>
    <n v="803.09"/>
    <x v="11"/>
    <x v="0"/>
  </r>
  <r>
    <s v="ORD1965"/>
    <d v="2025-06-15T00:00:00"/>
    <s v="Neha Singh"/>
    <x v="0"/>
    <s v="Haryana"/>
    <s v="Technology"/>
    <s v="Accessories"/>
    <s v="Wireless Mouse"/>
    <n v="34647"/>
    <n v="6"/>
    <s v="20%"/>
    <n v="8457.8799999999992"/>
    <x v="9"/>
    <x v="0"/>
  </r>
  <r>
    <s v="ORD1966"/>
    <d v="2025-08-14T00:00:00"/>
    <s v="Neha Singh"/>
    <x v="2"/>
    <s v="Karnataka"/>
    <s v="Furniture"/>
    <s v="Bookcase"/>
    <s v="Wooden Bookcase"/>
    <n v="48228"/>
    <n v="6"/>
    <s v="15%"/>
    <n v="9207.67"/>
    <x v="2"/>
    <x v="0"/>
  </r>
  <r>
    <s v="ORD1967"/>
    <d v="2025-01-08T00:00:00"/>
    <s v="Simran Kaur"/>
    <x v="0"/>
    <s v="Delhi"/>
    <s v="Office Supplies"/>
    <s v="Pen"/>
    <s v="Gel Pen Set"/>
    <n v="73303"/>
    <n v="5"/>
    <s v="0%"/>
    <n v="20156.29"/>
    <x v="8"/>
    <x v="0"/>
  </r>
  <r>
    <s v="ORD1968"/>
    <d v="2025-11-21T00:00:00"/>
    <s v="Amit Kumar"/>
    <x v="2"/>
    <s v="Tamil Nadu"/>
    <s v="Office Supplies"/>
    <s v="Binder"/>
    <s v="A4 Binder"/>
    <n v="70913"/>
    <n v="1"/>
    <s v="5%"/>
    <n v="5631.11"/>
    <x v="1"/>
    <x v="0"/>
  </r>
  <r>
    <s v="ORD1969"/>
    <d v="2025-09-18T00:00:00"/>
    <s v="Rahul Sharma"/>
    <x v="3"/>
    <s v="Rajasthan"/>
    <s v="Furniture"/>
    <s v="Table"/>
    <s v="Study Table"/>
    <n v="39417"/>
    <n v="6"/>
    <s v="15%"/>
    <n v="8509.9699999999993"/>
    <x v="5"/>
    <x v="0"/>
  </r>
  <r>
    <s v="ORD1970"/>
    <d v="2025-07-30T00:00:00"/>
    <s v="Arjun Rana"/>
    <x v="3"/>
    <s v="Gujarat"/>
    <s v="Furniture"/>
    <s v="Bookcase"/>
    <s v="Wooden Bookcase"/>
    <n v="33029"/>
    <n v="4"/>
    <s v="15%"/>
    <n v="7881.26"/>
    <x v="4"/>
    <x v="0"/>
  </r>
  <r>
    <s v="ORD1971"/>
    <d v="2025-06-18T00:00:00"/>
    <s v="Neha Singh"/>
    <x v="1"/>
    <s v="Bihar"/>
    <s v="Furniture"/>
    <s v="Chair"/>
    <s v="Office Chair"/>
    <n v="9367"/>
    <n v="7"/>
    <s v="5%"/>
    <n v="2212.98"/>
    <x v="9"/>
    <x v="0"/>
  </r>
  <r>
    <s v="ORD1972"/>
    <d v="2025-01-07T00:00:00"/>
    <s v="Neha Singh"/>
    <x v="2"/>
    <s v="Karnataka"/>
    <s v="Technology"/>
    <s v="Laptop"/>
    <s v="HP Pavilion"/>
    <n v="70955"/>
    <n v="4"/>
    <s v="20%"/>
    <n v="11398.53"/>
    <x v="8"/>
    <x v="0"/>
  </r>
  <r>
    <s v="ORD1973"/>
    <d v="2025-06-01T00:00:00"/>
    <s v="Simran Kaur"/>
    <x v="1"/>
    <s v="West Bengal"/>
    <s v="Furniture"/>
    <s v="Bookcase"/>
    <s v="Wooden Bookcase"/>
    <n v="79415"/>
    <n v="9"/>
    <s v="5%"/>
    <n v="6835.99"/>
    <x v="9"/>
    <x v="0"/>
  </r>
  <r>
    <s v="ORD1974"/>
    <d v="2025-03-06T00:00:00"/>
    <s v="Anjali Mehta"/>
    <x v="1"/>
    <s v="West Bengal"/>
    <s v="Office Supplies"/>
    <s v="Binder"/>
    <s v="A4 Binder"/>
    <n v="62179"/>
    <n v="1"/>
    <s v="5%"/>
    <n v="13108.88"/>
    <x v="6"/>
    <x v="0"/>
  </r>
  <r>
    <s v="ORD1975"/>
    <d v="2025-07-15T00:00:00"/>
    <s v="Priya Verma"/>
    <x v="2"/>
    <s v="Kerala"/>
    <s v="Technology"/>
    <s v="Laptop"/>
    <s v="HP Pavilion"/>
    <n v="74705"/>
    <n v="2"/>
    <s v="5%"/>
    <n v="7648.16"/>
    <x v="4"/>
    <x v="0"/>
  </r>
  <r>
    <s v="ORD1976"/>
    <d v="2025-07-08T00:00:00"/>
    <s v="Rahul Sharma"/>
    <x v="0"/>
    <s v="Punjab"/>
    <s v="Technology"/>
    <s v="Accessories"/>
    <s v="Wireless Mouse"/>
    <n v="8451"/>
    <n v="3"/>
    <s v="15%"/>
    <n v="925.3"/>
    <x v="4"/>
    <x v="0"/>
  </r>
  <r>
    <s v="ORD1977"/>
    <d v="2025-03-08T00:00:00"/>
    <s v="Anjali Mehta"/>
    <x v="3"/>
    <s v="Gujarat"/>
    <s v="Office Supplies"/>
    <s v="Paper"/>
    <s v="A4 Paper Pack"/>
    <n v="57878"/>
    <n v="5"/>
    <s v="5%"/>
    <n v="5213.0200000000004"/>
    <x v="6"/>
    <x v="0"/>
  </r>
  <r>
    <s v="ORD1978"/>
    <d v="2025-05-13T00:00:00"/>
    <s v="Anjali Mehta"/>
    <x v="2"/>
    <s v="Kerala"/>
    <s v="Furniture"/>
    <s v="Bookcase"/>
    <s v="Wooden Bookcase"/>
    <n v="66443"/>
    <n v="3"/>
    <s v="15%"/>
    <n v="11653.33"/>
    <x v="3"/>
    <x v="0"/>
  </r>
  <r>
    <s v="ORD1979"/>
    <d v="2025-02-27T00:00:00"/>
    <s v="Karan Patel"/>
    <x v="2"/>
    <s v="Kerala"/>
    <s v="Furniture"/>
    <s v="Table"/>
    <s v="Study Table"/>
    <n v="36614"/>
    <n v="5"/>
    <s v="0%"/>
    <n v="5990.07"/>
    <x v="11"/>
    <x v="0"/>
  </r>
  <r>
    <s v="ORD1980"/>
    <d v="2025-10-29T00:00:00"/>
    <s v="Simran Kaur"/>
    <x v="1"/>
    <s v="Bihar"/>
    <s v="Furniture"/>
    <s v="Table"/>
    <s v="Study Table"/>
    <n v="39350"/>
    <n v="2"/>
    <s v="5%"/>
    <n v="5484.56"/>
    <x v="10"/>
    <x v="0"/>
  </r>
  <r>
    <s v="ORD1981"/>
    <d v="2025-07-29T00:00:00"/>
    <s v="Priya Verma"/>
    <x v="1"/>
    <s v="Odisha"/>
    <s v="Technology"/>
    <s v="Mobile"/>
    <s v="Samsung Galaxy"/>
    <n v="33055"/>
    <n v="3"/>
    <s v="15%"/>
    <n v="4927.83"/>
    <x v="4"/>
    <x v="0"/>
  </r>
  <r>
    <s v="ORD1982"/>
    <d v="2025-07-21T00:00:00"/>
    <s v="Rohit Gupta"/>
    <x v="0"/>
    <s v="Punjab"/>
    <s v="Technology"/>
    <s v="Mobile"/>
    <s v="Samsung Galaxy"/>
    <n v="17664"/>
    <n v="5"/>
    <s v="10%"/>
    <n v="2132.61"/>
    <x v="4"/>
    <x v="0"/>
  </r>
  <r>
    <s v="ORD1983"/>
    <d v="2025-11-17T00:00:00"/>
    <s v="Anjali Mehta"/>
    <x v="1"/>
    <s v="Odisha"/>
    <s v="Office Supplies"/>
    <s v="Paper"/>
    <s v="A4 Paper Pack"/>
    <n v="51096"/>
    <n v="3"/>
    <s v="15%"/>
    <n v="8278.2000000000007"/>
    <x v="1"/>
    <x v="0"/>
  </r>
  <r>
    <s v="ORD1984"/>
    <d v="2025-06-14T00:00:00"/>
    <s v="Amit Kumar"/>
    <x v="3"/>
    <s v="Gujarat"/>
    <s v="Office Supplies"/>
    <s v="Pen"/>
    <s v="Gel Pen Set"/>
    <n v="38444"/>
    <n v="4"/>
    <s v="15%"/>
    <n v="6804.69"/>
    <x v="9"/>
    <x v="0"/>
  </r>
  <r>
    <s v="ORD1985"/>
    <d v="2025-11-24T00:00:00"/>
    <s v="Priya Verma"/>
    <x v="1"/>
    <s v="Bihar"/>
    <s v="Office Supplies"/>
    <s v="Binder"/>
    <s v="A4 Binder"/>
    <n v="60025"/>
    <n v="7"/>
    <s v="0%"/>
    <n v="14458.78"/>
    <x v="1"/>
    <x v="0"/>
  </r>
  <r>
    <s v="ORD1986"/>
    <d v="2025-11-29T00:00:00"/>
    <s v="Rahul Sharma"/>
    <x v="1"/>
    <s v="West Bengal"/>
    <s v="Technology"/>
    <s v="Mobile"/>
    <s v="Samsung Galaxy"/>
    <n v="70930"/>
    <n v="2"/>
    <s v="0%"/>
    <n v="13704.83"/>
    <x v="1"/>
    <x v="0"/>
  </r>
  <r>
    <s v="ORD1987"/>
    <d v="2025-11-09T00:00:00"/>
    <s v="Anjali Mehta"/>
    <x v="1"/>
    <s v="Bihar"/>
    <s v="Technology"/>
    <s v="Mobile"/>
    <s v="Samsung Galaxy"/>
    <n v="65930"/>
    <n v="10"/>
    <s v="15%"/>
    <n v="4325.13"/>
    <x v="1"/>
    <x v="0"/>
  </r>
  <r>
    <s v="ORD1988"/>
    <d v="2025-03-09T00:00:00"/>
    <s v="Neha Singh"/>
    <x v="0"/>
    <s v="Haryana"/>
    <s v="Office Supplies"/>
    <s v="Pen"/>
    <s v="Gel Pen Set"/>
    <n v="16177"/>
    <n v="2"/>
    <s v="5%"/>
    <n v="4166.1099999999997"/>
    <x v="6"/>
    <x v="0"/>
  </r>
  <r>
    <s v="ORD1989"/>
    <d v="2025-01-27T00:00:00"/>
    <s v="Rahul Sharma"/>
    <x v="1"/>
    <s v="Odisha"/>
    <s v="Technology"/>
    <s v="Accessories"/>
    <s v="Wireless Mouse"/>
    <n v="3834"/>
    <n v="4"/>
    <s v="0%"/>
    <n v="313.3"/>
    <x v="8"/>
    <x v="0"/>
  </r>
  <r>
    <s v="ORD1990"/>
    <d v="2025-02-11T00:00:00"/>
    <s v="Priya Verma"/>
    <x v="0"/>
    <s v="Delhi"/>
    <s v="Office Supplies"/>
    <s v="Paper"/>
    <s v="A4 Paper Pack"/>
    <n v="67886"/>
    <n v="5"/>
    <s v="10%"/>
    <n v="5732.17"/>
    <x v="11"/>
    <x v="0"/>
  </r>
  <r>
    <s v="ORD1991"/>
    <d v="2025-08-02T00:00:00"/>
    <s v="Rahul Sharma"/>
    <x v="1"/>
    <s v="West Bengal"/>
    <s v="Office Supplies"/>
    <s v="Paper"/>
    <s v="A4 Paper Pack"/>
    <n v="72777"/>
    <n v="8"/>
    <s v="20%"/>
    <n v="17022.66"/>
    <x v="2"/>
    <x v="0"/>
  </r>
  <r>
    <s v="ORD1992"/>
    <d v="2025-11-05T00:00:00"/>
    <s v="Simran Kaur"/>
    <x v="1"/>
    <s v="Bihar"/>
    <s v="Office Supplies"/>
    <s v="Binder"/>
    <s v="A4 Binder"/>
    <n v="29956"/>
    <n v="7"/>
    <s v="15%"/>
    <n v="4240.8900000000003"/>
    <x v="1"/>
    <x v="0"/>
  </r>
  <r>
    <s v="ORD1993"/>
    <d v="2025-10-13T00:00:00"/>
    <s v="Karan Patel"/>
    <x v="1"/>
    <s v="West Bengal"/>
    <s v="Furniture"/>
    <s v="Table"/>
    <s v="Study Table"/>
    <n v="16597"/>
    <n v="10"/>
    <s v="15%"/>
    <n v="1993.08"/>
    <x v="10"/>
    <x v="0"/>
  </r>
  <r>
    <s v="ORD1994"/>
    <d v="2025-08-01T00:00:00"/>
    <s v="Rahul Sharma"/>
    <x v="3"/>
    <s v="Rajasthan"/>
    <s v="Office Supplies"/>
    <s v="Pen"/>
    <s v="Gel Pen Set"/>
    <n v="45923"/>
    <n v="3"/>
    <s v="20%"/>
    <n v="4236.82"/>
    <x v="2"/>
    <x v="0"/>
  </r>
  <r>
    <s v="ORD1995"/>
    <d v="2025-01-24T00:00:00"/>
    <s v="Arjun Rana"/>
    <x v="3"/>
    <s v="Gujarat"/>
    <s v="Furniture"/>
    <s v="Bookcase"/>
    <s v="Wooden Bookcase"/>
    <n v="21202"/>
    <n v="1"/>
    <s v="20%"/>
    <n v="2032.2"/>
    <x v="8"/>
    <x v="0"/>
  </r>
  <r>
    <s v="ORD1996"/>
    <d v="2025-04-27T00:00:00"/>
    <s v="Sneha Joshi"/>
    <x v="2"/>
    <s v="Karnataka"/>
    <s v="Office Supplies"/>
    <s v="Pen"/>
    <s v="Gel Pen Set"/>
    <n v="63053"/>
    <n v="2"/>
    <s v="15%"/>
    <n v="4516.43"/>
    <x v="0"/>
    <x v="0"/>
  </r>
  <r>
    <s v="ORD1997"/>
    <d v="2025-11-09T00:00:00"/>
    <s v="Rahul Sharma"/>
    <x v="2"/>
    <s v="Karnataka"/>
    <s v="Office Supplies"/>
    <s v="Binder"/>
    <s v="A4 Binder"/>
    <n v="48714"/>
    <n v="7"/>
    <s v="20%"/>
    <n v="9539.74"/>
    <x v="1"/>
    <x v="0"/>
  </r>
  <r>
    <s v="ORD1998"/>
    <d v="2025-01-22T00:00:00"/>
    <s v="Anjali Mehta"/>
    <x v="1"/>
    <s v="Bihar"/>
    <s v="Technology"/>
    <s v="Accessories"/>
    <s v="Wireless Mouse"/>
    <n v="60628"/>
    <n v="7"/>
    <s v="10%"/>
    <n v="10650.2"/>
    <x v="8"/>
    <x v="0"/>
  </r>
  <r>
    <s v="ORD1999"/>
    <d v="2025-10-10T00:00:00"/>
    <s v="Anjali Mehta"/>
    <x v="0"/>
    <s v="Haryana"/>
    <s v="Technology"/>
    <s v="Accessories"/>
    <s v="Wireless Mouse"/>
    <n v="4946"/>
    <n v="6"/>
    <s v="15%"/>
    <n v="875.33"/>
    <x v="10"/>
    <x v="0"/>
  </r>
  <r>
    <s v="ORD2000"/>
    <d v="2025-10-13T00:00:00"/>
    <s v="Arjun Rana"/>
    <x v="1"/>
    <s v="West Bengal"/>
    <s v="Office Supplies"/>
    <s v="Pen"/>
    <s v="Gel Pen Set"/>
    <n v="31717"/>
    <n v="10"/>
    <s v="0%"/>
    <n v="8233.9699999999993"/>
    <x v="1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A1113-E078-40F8-A336-264D42C857FB}" name="PivotTable16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Year">
  <location ref="A34:B36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13"/>
  </rowFields>
  <rowItems count="2">
    <i>
      <x/>
    </i>
    <i t="grand">
      <x/>
    </i>
  </rowItems>
  <colItems count="1">
    <i/>
  </colItems>
  <dataFields count="1">
    <dataField name="Total Sales" fld="8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61EA27-29B4-4124-BD01-FB0141DEB317}" name="PivotTable15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Month">
  <location ref="A18:B31" firstHeaderRow="1" firstDataRow="1" firstDataCol="1"/>
  <pivotFields count="14">
    <pivotField showAll="0"/>
    <pivotField numFmtId="14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13">
        <item x="8"/>
        <item x="11"/>
        <item x="6"/>
        <item x="0"/>
        <item x="3"/>
        <item x="9"/>
        <item x="4"/>
        <item x="2"/>
        <item x="5"/>
        <item x="10"/>
        <item x="1"/>
        <item x="7"/>
        <item t="default"/>
      </items>
    </pivotField>
    <pivotField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Total Sales" fld="8" baseField="0" baseItem="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1F907-AB31-4F47-A936-D12732910709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Region">
  <location ref="A1:B6" firstHeaderRow="1" firstDataRow="1" firstDataCol="1"/>
  <pivotFields count="12"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Sales" fld="8" baseField="0" baseItem="0" numFmtId="167"/>
  </dataFields>
  <formats count="2">
    <format dxfId="3">
      <pivotArea outline="0" collapsedLevelsAreSubtotals="1" fieldPosition="0"/>
    </format>
    <format dxfId="4">
      <pivotArea dataOnly="0" labelOnly="1" outline="0" axis="axisValues" fieldPosition="0"/>
    </format>
  </format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19402B-D9B7-4B99-B720-458AF4886482}" name="PivotTable2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Category">
  <location ref="A10:B14" firstHeaderRow="1" firstDataRow="1" firstDataCol="1"/>
  <pivotFields count="12"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Sales" fld="8" baseField="0" baseItem="0"/>
  </dataFields>
  <formats count="6">
    <format dxfId="7">
      <pivotArea collapsedLevelsAreSubtotals="1" fieldPosition="0">
        <references count="1">
          <reference field="5" count="1">
            <x v="0"/>
          </reference>
        </references>
      </pivotArea>
    </format>
    <format dxfId="6">
      <pivotArea collapsedLevelsAreSubtotals="1" fieldPosition="0">
        <references count="1">
          <reference field="5" count="1">
            <x v="1"/>
          </reference>
        </references>
      </pivotArea>
    </format>
    <format dxfId="5">
      <pivotArea collapsedLevelsAreSubtotals="1" fieldPosition="0">
        <references count="1">
          <reference field="5" count="1">
            <x v="2"/>
          </reference>
        </references>
      </pivotArea>
    </format>
    <format dxfId="2">
      <pivotArea collapsedLevelsAreSubtotals="1" fieldPosition="0">
        <references count="1">
          <reference field="5" count="1">
            <x v="2"/>
          </reference>
        </references>
      </pivotArea>
    </format>
    <format dxfId="1">
      <pivotArea grandRow="1" outline="0" collapsedLevelsAreSubtotals="1" fieldPosition="0"/>
    </format>
    <format dxfId="0">
      <pivotArea grandRow="1"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1257E6-CCD9-4652-AD23-30E5B22A698C}" name="Table6" displayName="Table6" ref="A1:N1001" totalsRowShown="0">
  <autoFilter ref="A1:N1001" xr:uid="{7C1257E6-CCD9-4652-AD23-30E5B22A698C}"/>
  <tableColumns count="14">
    <tableColumn id="1" xr3:uid="{D7BADE68-BCC1-426A-988B-36BBD25AFB1B}" name="Order ID"/>
    <tableColumn id="2" xr3:uid="{6695A5B3-47EE-41D6-A07C-412C42341A50}" name="Order Date" dataDxfId="8"/>
    <tableColumn id="3" xr3:uid="{1032755D-0270-4EC1-B2BD-346F5B2EA2A3}" name="Customer Name"/>
    <tableColumn id="4" xr3:uid="{A48A678F-DF6A-401A-BBF3-B6F5326D36AC}" name="Region"/>
    <tableColumn id="5" xr3:uid="{CA2A4533-3AAC-4C9C-ABC5-DCC81BC94335}" name="State"/>
    <tableColumn id="6" xr3:uid="{FBAC343F-C22C-41EE-9F44-601D154401E3}" name="Category"/>
    <tableColumn id="7" xr3:uid="{6FC2D306-CFD9-44BD-A79B-6F3399D01F54}" name="Sub-Category"/>
    <tableColumn id="8" xr3:uid="{79A24464-BDCE-4406-ABAD-A6B73F723060}" name="Product Name"/>
    <tableColumn id="9" xr3:uid="{982D859E-36C4-4B42-AC1A-335E0CF48D9D}" name="Sales"/>
    <tableColumn id="10" xr3:uid="{C5F1B36A-8496-4AAC-B830-3A76F718954A}" name="Quantity"/>
    <tableColumn id="11" xr3:uid="{C1801074-305C-4EB8-886E-977A599ED80C}" name="Discount"/>
    <tableColumn id="12" xr3:uid="{58AC09FE-5AC6-4A64-9C74-92B60D2D0579}" name="Profit"/>
    <tableColumn id="13" xr3:uid="{5A9E324F-A1CC-4BE7-841D-1EB04DFAEA35}" name="Month">
      <calculatedColumnFormula>TEXT(B2,"mmm")</calculatedColumnFormula>
    </tableColumn>
    <tableColumn id="14" xr3:uid="{1D4BC832-CD07-4558-B09C-A93D6DCE3A7F}" name="Year">
      <calculatedColumnFormula>YEAR(B2)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AF4C8D-15AB-4C27-AF2B-1FDEAFE26FEC}" name="Table1" displayName="Table1" ref="A1:L1001" totalsRowShown="0">
  <autoFilter ref="A1:L1001" xr:uid="{6AAF4C8D-15AB-4C27-AF2B-1FDEAFE26FEC}"/>
  <tableColumns count="12">
    <tableColumn id="1" xr3:uid="{A458F249-AE44-4D59-8B31-F9F05ACF7BB4}" name="Order ID"/>
    <tableColumn id="2" xr3:uid="{D0B8BD41-3E85-47ED-A0F4-B3E32A4D9A00}" name="Order Date"/>
    <tableColumn id="3" xr3:uid="{69C8BBB0-8570-4EBC-BD75-33F718B0E4C2}" name="Customer Name"/>
    <tableColumn id="4" xr3:uid="{DF6ADFE5-8101-4C6E-ACDC-1CD269BC9A47}" name="Region"/>
    <tableColumn id="5" xr3:uid="{5BB1A934-D528-46AE-ACC1-65C0F10A9897}" name="State"/>
    <tableColumn id="6" xr3:uid="{345582FA-C5DE-4DD0-828A-D96150375AD5}" name="Category"/>
    <tableColumn id="7" xr3:uid="{6B6567DB-83C8-4C9F-B2EA-2F8AEEC9E50E}" name="Sub-Category"/>
    <tableColumn id="8" xr3:uid="{BA45022B-8D25-4540-B306-99C792197F55}" name="Product Name"/>
    <tableColumn id="9" xr3:uid="{7D1F7FDF-AFBE-4A6C-8E5C-8C9DC8C28222}" name="Sales"/>
    <tableColumn id="10" xr3:uid="{9B5D33FB-2725-46D2-8D4D-E68AAC0F130E}" name="Quantity"/>
    <tableColumn id="11" xr3:uid="{9C454E97-E8F7-4DB2-8E16-B33D357792FB}" name="Discount"/>
    <tableColumn id="12" xr3:uid="{6361ABF8-9867-4CA1-9F66-BE5077FB0FB2}" name="Profi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A2" workbookViewId="0">
      <selection activeCell="C13" sqref="C13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5" max="5" width="10.77734375" customWidth="1"/>
    <col min="6" max="6" width="12.88671875" customWidth="1"/>
    <col min="7" max="7" width="14.33203125" customWidth="1"/>
    <col min="8" max="8" width="15" customWidth="1"/>
    <col min="10" max="11" width="10.21875" customWidth="1"/>
    <col min="13" max="13" width="13.77734375" customWidth="1"/>
    <col min="14" max="14" width="12.218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1403</v>
      </c>
      <c r="N1" t="s">
        <v>1404</v>
      </c>
    </row>
    <row r="2" spans="1:14" x14ac:dyDescent="0.3">
      <c r="A2" t="s">
        <v>12</v>
      </c>
      <c r="B2" s="5">
        <v>45749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64079</v>
      </c>
      <c r="J2">
        <v>7</v>
      </c>
      <c r="K2" t="s">
        <v>20</v>
      </c>
      <c r="L2">
        <v>11572.42</v>
      </c>
      <c r="M2" t="str">
        <f>TEXT(B2,"mmm")</f>
        <v>Apr</v>
      </c>
      <c r="N2">
        <f>YEAR(B2)</f>
        <v>2025</v>
      </c>
    </row>
    <row r="3" spans="1:14" x14ac:dyDescent="0.3">
      <c r="A3" t="s">
        <v>21</v>
      </c>
      <c r="B3" s="5">
        <v>45974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15393</v>
      </c>
      <c r="J3">
        <v>6</v>
      </c>
      <c r="K3" t="s">
        <v>28</v>
      </c>
      <c r="L3">
        <v>3368.83</v>
      </c>
      <c r="M3" t="str">
        <f t="shared" ref="M3:M66" si="0">TEXT(B3,"mmm")</f>
        <v>Nov</v>
      </c>
      <c r="N3">
        <f t="shared" ref="N3:N66" si="1">YEAR(B3)</f>
        <v>2025</v>
      </c>
    </row>
    <row r="4" spans="1:14" x14ac:dyDescent="0.3">
      <c r="A4" t="s">
        <v>29</v>
      </c>
      <c r="B4" s="5">
        <v>45878</v>
      </c>
      <c r="C4" t="s">
        <v>31</v>
      </c>
      <c r="D4" t="s">
        <v>32</v>
      </c>
      <c r="E4" t="s">
        <v>33</v>
      </c>
      <c r="F4" t="s">
        <v>25</v>
      </c>
      <c r="G4" t="s">
        <v>26</v>
      </c>
      <c r="H4" t="s">
        <v>27</v>
      </c>
      <c r="I4">
        <v>79449</v>
      </c>
      <c r="J4">
        <v>9</v>
      </c>
      <c r="K4" t="s">
        <v>34</v>
      </c>
      <c r="L4">
        <v>20039.900000000001</v>
      </c>
      <c r="M4" t="str">
        <f t="shared" si="0"/>
        <v>Aug</v>
      </c>
      <c r="N4">
        <f t="shared" si="1"/>
        <v>2025</v>
      </c>
    </row>
    <row r="5" spans="1:14" x14ac:dyDescent="0.3">
      <c r="A5" t="s">
        <v>35</v>
      </c>
      <c r="B5" s="5">
        <v>45785</v>
      </c>
      <c r="C5" t="s">
        <v>37</v>
      </c>
      <c r="D5" t="s">
        <v>38</v>
      </c>
      <c r="E5" t="s">
        <v>39</v>
      </c>
      <c r="F5" t="s">
        <v>25</v>
      </c>
      <c r="G5" t="s">
        <v>40</v>
      </c>
      <c r="H5" t="s">
        <v>41</v>
      </c>
      <c r="I5">
        <v>45792</v>
      </c>
      <c r="J5">
        <v>2</v>
      </c>
      <c r="K5" t="s">
        <v>34</v>
      </c>
      <c r="L5">
        <v>6651.79</v>
      </c>
      <c r="M5" t="str">
        <f t="shared" si="0"/>
        <v>May</v>
      </c>
      <c r="N5">
        <f t="shared" si="1"/>
        <v>2025</v>
      </c>
    </row>
    <row r="6" spans="1:14" x14ac:dyDescent="0.3">
      <c r="A6" t="s">
        <v>42</v>
      </c>
      <c r="B6" s="5">
        <v>45859</v>
      </c>
      <c r="C6" t="s">
        <v>44</v>
      </c>
      <c r="D6" t="s">
        <v>32</v>
      </c>
      <c r="E6" t="s">
        <v>45</v>
      </c>
      <c r="F6" t="s">
        <v>46</v>
      </c>
      <c r="G6" t="s">
        <v>47</v>
      </c>
      <c r="H6" t="s">
        <v>48</v>
      </c>
      <c r="I6">
        <v>24475</v>
      </c>
      <c r="J6">
        <v>9</v>
      </c>
      <c r="K6" t="s">
        <v>49</v>
      </c>
      <c r="L6">
        <v>4452.66</v>
      </c>
      <c r="M6" t="str">
        <f t="shared" si="0"/>
        <v>Jul</v>
      </c>
      <c r="N6">
        <f t="shared" si="1"/>
        <v>2025</v>
      </c>
    </row>
    <row r="7" spans="1:14" x14ac:dyDescent="0.3">
      <c r="A7" t="s">
        <v>50</v>
      </c>
      <c r="B7" s="5">
        <v>45970</v>
      </c>
      <c r="C7" t="s">
        <v>14</v>
      </c>
      <c r="D7" t="s">
        <v>38</v>
      </c>
      <c r="E7" t="s">
        <v>52</v>
      </c>
      <c r="F7" t="s">
        <v>46</v>
      </c>
      <c r="G7" t="s">
        <v>47</v>
      </c>
      <c r="H7" t="s">
        <v>48</v>
      </c>
      <c r="I7">
        <v>16445</v>
      </c>
      <c r="J7">
        <v>7</v>
      </c>
      <c r="K7" t="s">
        <v>53</v>
      </c>
      <c r="L7">
        <v>1972.03</v>
      </c>
      <c r="M7" t="str">
        <f t="shared" si="0"/>
        <v>Nov</v>
      </c>
      <c r="N7">
        <f t="shared" si="1"/>
        <v>2025</v>
      </c>
    </row>
    <row r="8" spans="1:14" x14ac:dyDescent="0.3">
      <c r="A8" t="s">
        <v>54</v>
      </c>
      <c r="B8" s="5">
        <v>45912</v>
      </c>
      <c r="C8" t="s">
        <v>56</v>
      </c>
      <c r="D8" t="s">
        <v>38</v>
      </c>
      <c r="E8" t="s">
        <v>52</v>
      </c>
      <c r="F8" t="s">
        <v>25</v>
      </c>
      <c r="G8" t="s">
        <v>57</v>
      </c>
      <c r="H8" t="s">
        <v>58</v>
      </c>
      <c r="I8">
        <v>66960</v>
      </c>
      <c r="J8">
        <v>10</v>
      </c>
      <c r="K8" t="s">
        <v>53</v>
      </c>
      <c r="L8">
        <v>16705.88</v>
      </c>
      <c r="M8" t="str">
        <f t="shared" si="0"/>
        <v>Sep</v>
      </c>
      <c r="N8">
        <f t="shared" si="1"/>
        <v>2025</v>
      </c>
    </row>
    <row r="9" spans="1:14" x14ac:dyDescent="0.3">
      <c r="A9" t="s">
        <v>59</v>
      </c>
      <c r="B9" s="5">
        <v>45976</v>
      </c>
      <c r="C9" t="s">
        <v>31</v>
      </c>
      <c r="D9" t="s">
        <v>32</v>
      </c>
      <c r="E9" t="s">
        <v>45</v>
      </c>
      <c r="F9" t="s">
        <v>46</v>
      </c>
      <c r="G9" t="s">
        <v>47</v>
      </c>
      <c r="H9" t="s">
        <v>48</v>
      </c>
      <c r="I9">
        <v>22396</v>
      </c>
      <c r="J9">
        <v>9</v>
      </c>
      <c r="K9" t="s">
        <v>28</v>
      </c>
      <c r="L9">
        <v>3903.8</v>
      </c>
      <c r="M9" t="str">
        <f t="shared" si="0"/>
        <v>Nov</v>
      </c>
      <c r="N9">
        <f t="shared" si="1"/>
        <v>2025</v>
      </c>
    </row>
    <row r="10" spans="1:14" x14ac:dyDescent="0.3">
      <c r="A10" t="s">
        <v>61</v>
      </c>
      <c r="B10" s="5">
        <v>45883</v>
      </c>
      <c r="C10" t="s">
        <v>63</v>
      </c>
      <c r="D10" t="s">
        <v>38</v>
      </c>
      <c r="E10" t="s">
        <v>39</v>
      </c>
      <c r="F10" t="s">
        <v>25</v>
      </c>
      <c r="G10" t="s">
        <v>40</v>
      </c>
      <c r="H10" t="s">
        <v>41</v>
      </c>
      <c r="I10">
        <v>14061</v>
      </c>
      <c r="J10">
        <v>3</v>
      </c>
      <c r="K10" t="s">
        <v>20</v>
      </c>
      <c r="L10">
        <v>3724.12</v>
      </c>
      <c r="M10" t="str">
        <f t="shared" si="0"/>
        <v>Aug</v>
      </c>
      <c r="N10">
        <f t="shared" si="1"/>
        <v>2025</v>
      </c>
    </row>
    <row r="11" spans="1:14" x14ac:dyDescent="0.3">
      <c r="A11" t="s">
        <v>64</v>
      </c>
      <c r="B11" s="5">
        <v>45724</v>
      </c>
      <c r="C11" t="s">
        <v>66</v>
      </c>
      <c r="D11" t="s">
        <v>38</v>
      </c>
      <c r="E11" t="s">
        <v>67</v>
      </c>
      <c r="F11" t="s">
        <v>46</v>
      </c>
      <c r="G11" t="s">
        <v>47</v>
      </c>
      <c r="H11" t="s">
        <v>48</v>
      </c>
      <c r="I11">
        <v>45945</v>
      </c>
      <c r="J11">
        <v>10</v>
      </c>
      <c r="K11" t="s">
        <v>53</v>
      </c>
      <c r="L11">
        <v>8964.8700000000008</v>
      </c>
      <c r="M11" t="str">
        <f t="shared" si="0"/>
        <v>Mar</v>
      </c>
      <c r="N11">
        <f t="shared" si="1"/>
        <v>2025</v>
      </c>
    </row>
    <row r="12" spans="1:14" x14ac:dyDescent="0.3">
      <c r="A12" t="s">
        <v>68</v>
      </c>
      <c r="B12" s="5">
        <v>45981</v>
      </c>
      <c r="C12" t="s">
        <v>44</v>
      </c>
      <c r="D12" t="s">
        <v>32</v>
      </c>
      <c r="E12" t="s">
        <v>33</v>
      </c>
      <c r="F12" t="s">
        <v>17</v>
      </c>
      <c r="G12" t="s">
        <v>18</v>
      </c>
      <c r="H12" t="s">
        <v>19</v>
      </c>
      <c r="I12">
        <v>36004</v>
      </c>
      <c r="J12">
        <v>10</v>
      </c>
      <c r="K12" t="s">
        <v>34</v>
      </c>
      <c r="L12">
        <v>7858.68</v>
      </c>
      <c r="M12" t="str">
        <f t="shared" si="0"/>
        <v>Nov</v>
      </c>
      <c r="N12">
        <f t="shared" si="1"/>
        <v>2025</v>
      </c>
    </row>
    <row r="13" spans="1:14" x14ac:dyDescent="0.3">
      <c r="A13" t="s">
        <v>70</v>
      </c>
      <c r="B13" s="5">
        <v>45770</v>
      </c>
      <c r="C13" t="s">
        <v>72</v>
      </c>
      <c r="D13" t="s">
        <v>15</v>
      </c>
      <c r="E13" t="s">
        <v>73</v>
      </c>
      <c r="F13" t="s">
        <v>25</v>
      </c>
      <c r="G13" t="s">
        <v>26</v>
      </c>
      <c r="H13" t="s">
        <v>27</v>
      </c>
      <c r="I13">
        <v>12137</v>
      </c>
      <c r="J13">
        <v>3</v>
      </c>
      <c r="K13" t="s">
        <v>34</v>
      </c>
      <c r="L13">
        <v>2959.87</v>
      </c>
      <c r="M13" t="str">
        <f t="shared" si="0"/>
        <v>Apr</v>
      </c>
      <c r="N13">
        <f t="shared" si="1"/>
        <v>2025</v>
      </c>
    </row>
    <row r="14" spans="1:14" x14ac:dyDescent="0.3">
      <c r="A14" t="s">
        <v>74</v>
      </c>
      <c r="B14" s="5">
        <v>46007</v>
      </c>
      <c r="C14" t="s">
        <v>31</v>
      </c>
      <c r="D14" t="s">
        <v>38</v>
      </c>
      <c r="E14" t="s">
        <v>67</v>
      </c>
      <c r="F14" t="s">
        <v>17</v>
      </c>
      <c r="G14" t="s">
        <v>76</v>
      </c>
      <c r="H14" t="s">
        <v>77</v>
      </c>
      <c r="I14">
        <v>1713</v>
      </c>
      <c r="J14">
        <v>3</v>
      </c>
      <c r="K14" t="s">
        <v>49</v>
      </c>
      <c r="L14">
        <v>222.67</v>
      </c>
      <c r="M14" t="str">
        <f t="shared" si="0"/>
        <v>Dec</v>
      </c>
      <c r="N14">
        <f t="shared" si="1"/>
        <v>2025</v>
      </c>
    </row>
    <row r="15" spans="1:14" x14ac:dyDescent="0.3">
      <c r="A15" t="s">
        <v>78</v>
      </c>
      <c r="B15" s="5">
        <v>45682</v>
      </c>
      <c r="C15" t="s">
        <v>44</v>
      </c>
      <c r="D15" t="s">
        <v>38</v>
      </c>
      <c r="E15" t="s">
        <v>52</v>
      </c>
      <c r="F15" t="s">
        <v>17</v>
      </c>
      <c r="G15" t="s">
        <v>18</v>
      </c>
      <c r="H15" t="s">
        <v>19</v>
      </c>
      <c r="I15">
        <v>32314</v>
      </c>
      <c r="J15">
        <v>7</v>
      </c>
      <c r="K15" t="s">
        <v>28</v>
      </c>
      <c r="L15">
        <v>6233.33</v>
      </c>
      <c r="M15" t="str">
        <f t="shared" si="0"/>
        <v>Jan</v>
      </c>
      <c r="N15">
        <f t="shared" si="1"/>
        <v>2025</v>
      </c>
    </row>
    <row r="16" spans="1:14" x14ac:dyDescent="0.3">
      <c r="A16" t="s">
        <v>80</v>
      </c>
      <c r="B16" s="5">
        <v>45836</v>
      </c>
      <c r="C16" t="s">
        <v>44</v>
      </c>
      <c r="D16" t="s">
        <v>23</v>
      </c>
      <c r="E16" t="s">
        <v>82</v>
      </c>
      <c r="F16" t="s">
        <v>17</v>
      </c>
      <c r="G16" t="s">
        <v>18</v>
      </c>
      <c r="H16" t="s">
        <v>19</v>
      </c>
      <c r="I16">
        <v>65103</v>
      </c>
      <c r="J16">
        <v>9</v>
      </c>
      <c r="K16" t="s">
        <v>49</v>
      </c>
      <c r="L16">
        <v>10681.66</v>
      </c>
      <c r="M16" t="str">
        <f t="shared" si="0"/>
        <v>Jun</v>
      </c>
      <c r="N16">
        <f t="shared" si="1"/>
        <v>2025</v>
      </c>
    </row>
    <row r="17" spans="1:14" x14ac:dyDescent="0.3">
      <c r="A17" t="s">
        <v>83</v>
      </c>
      <c r="B17" s="5">
        <v>45990</v>
      </c>
      <c r="C17" t="s">
        <v>14</v>
      </c>
      <c r="D17" t="s">
        <v>15</v>
      </c>
      <c r="E17" t="s">
        <v>16</v>
      </c>
      <c r="F17" t="s">
        <v>17</v>
      </c>
      <c r="G17" t="s">
        <v>76</v>
      </c>
      <c r="H17" t="s">
        <v>77</v>
      </c>
      <c r="I17">
        <v>40658</v>
      </c>
      <c r="J17">
        <v>8</v>
      </c>
      <c r="K17" t="s">
        <v>49</v>
      </c>
      <c r="L17">
        <v>6102.48</v>
      </c>
      <c r="M17" t="str">
        <f t="shared" si="0"/>
        <v>Nov</v>
      </c>
      <c r="N17">
        <f t="shared" si="1"/>
        <v>2025</v>
      </c>
    </row>
    <row r="18" spans="1:14" x14ac:dyDescent="0.3">
      <c r="A18" t="s">
        <v>85</v>
      </c>
      <c r="B18" s="5">
        <v>45668</v>
      </c>
      <c r="C18" t="s">
        <v>44</v>
      </c>
      <c r="D18" t="s">
        <v>15</v>
      </c>
      <c r="E18" t="s">
        <v>73</v>
      </c>
      <c r="F18" t="s">
        <v>46</v>
      </c>
      <c r="G18" t="s">
        <v>87</v>
      </c>
      <c r="H18" t="s">
        <v>88</v>
      </c>
      <c r="I18">
        <v>50447</v>
      </c>
      <c r="J18">
        <v>10</v>
      </c>
      <c r="K18" t="s">
        <v>34</v>
      </c>
      <c r="L18">
        <v>6815.05</v>
      </c>
      <c r="M18" t="str">
        <f t="shared" si="0"/>
        <v>Jan</v>
      </c>
      <c r="N18">
        <f t="shared" si="1"/>
        <v>2025</v>
      </c>
    </row>
    <row r="19" spans="1:14" x14ac:dyDescent="0.3">
      <c r="A19" t="s">
        <v>89</v>
      </c>
      <c r="B19" s="5">
        <v>45998</v>
      </c>
      <c r="C19" t="s">
        <v>91</v>
      </c>
      <c r="D19" t="s">
        <v>38</v>
      </c>
      <c r="E19" t="s">
        <v>39</v>
      </c>
      <c r="F19" t="s">
        <v>17</v>
      </c>
      <c r="G19" t="s">
        <v>76</v>
      </c>
      <c r="H19" t="s">
        <v>77</v>
      </c>
      <c r="I19">
        <v>43827</v>
      </c>
      <c r="J19">
        <v>6</v>
      </c>
      <c r="K19" t="s">
        <v>28</v>
      </c>
      <c r="L19">
        <v>10731.96</v>
      </c>
      <c r="M19" t="str">
        <f t="shared" si="0"/>
        <v>Dec</v>
      </c>
      <c r="N19">
        <f t="shared" si="1"/>
        <v>2025</v>
      </c>
    </row>
    <row r="20" spans="1:14" x14ac:dyDescent="0.3">
      <c r="A20" t="s">
        <v>92</v>
      </c>
      <c r="B20" s="5">
        <v>45768</v>
      </c>
      <c r="C20" t="s">
        <v>72</v>
      </c>
      <c r="D20" t="s">
        <v>32</v>
      </c>
      <c r="E20" t="s">
        <v>45</v>
      </c>
      <c r="F20" t="s">
        <v>46</v>
      </c>
      <c r="G20" t="s">
        <v>94</v>
      </c>
      <c r="H20" t="s">
        <v>95</v>
      </c>
      <c r="I20">
        <v>78040</v>
      </c>
      <c r="J20">
        <v>9</v>
      </c>
      <c r="K20" t="s">
        <v>34</v>
      </c>
      <c r="L20">
        <v>7834.96</v>
      </c>
      <c r="M20" t="str">
        <f t="shared" si="0"/>
        <v>Apr</v>
      </c>
      <c r="N20">
        <f t="shared" si="1"/>
        <v>2025</v>
      </c>
    </row>
    <row r="21" spans="1:14" x14ac:dyDescent="0.3">
      <c r="A21" t="s">
        <v>96</v>
      </c>
      <c r="B21" s="5">
        <v>45888</v>
      </c>
      <c r="C21" t="s">
        <v>66</v>
      </c>
      <c r="D21" t="s">
        <v>38</v>
      </c>
      <c r="E21" t="s">
        <v>52</v>
      </c>
      <c r="F21" t="s">
        <v>46</v>
      </c>
      <c r="G21" t="s">
        <v>94</v>
      </c>
      <c r="H21" t="s">
        <v>95</v>
      </c>
      <c r="I21">
        <v>41230</v>
      </c>
      <c r="J21">
        <v>6</v>
      </c>
      <c r="K21" t="s">
        <v>34</v>
      </c>
      <c r="L21">
        <v>5990.91</v>
      </c>
      <c r="M21" t="str">
        <f t="shared" si="0"/>
        <v>Aug</v>
      </c>
      <c r="N21">
        <f t="shared" si="1"/>
        <v>2025</v>
      </c>
    </row>
    <row r="22" spans="1:14" x14ac:dyDescent="0.3">
      <c r="A22" t="s">
        <v>98</v>
      </c>
      <c r="B22" s="5">
        <v>45827</v>
      </c>
      <c r="C22" t="s">
        <v>66</v>
      </c>
      <c r="D22" t="s">
        <v>15</v>
      </c>
      <c r="E22" t="s">
        <v>73</v>
      </c>
      <c r="F22" t="s">
        <v>25</v>
      </c>
      <c r="G22" t="s">
        <v>40</v>
      </c>
      <c r="H22" t="s">
        <v>41</v>
      </c>
      <c r="I22">
        <v>61563</v>
      </c>
      <c r="J22">
        <v>5</v>
      </c>
      <c r="K22" t="s">
        <v>34</v>
      </c>
      <c r="L22">
        <v>13300.04</v>
      </c>
      <c r="M22" t="str">
        <f t="shared" si="0"/>
        <v>Jun</v>
      </c>
      <c r="N22">
        <f t="shared" si="1"/>
        <v>2025</v>
      </c>
    </row>
    <row r="23" spans="1:14" x14ac:dyDescent="0.3">
      <c r="A23" t="s">
        <v>100</v>
      </c>
      <c r="B23" s="5">
        <v>45889</v>
      </c>
      <c r="C23" t="s">
        <v>44</v>
      </c>
      <c r="D23" t="s">
        <v>38</v>
      </c>
      <c r="E23" t="s">
        <v>52</v>
      </c>
      <c r="F23" t="s">
        <v>17</v>
      </c>
      <c r="G23" t="s">
        <v>18</v>
      </c>
      <c r="H23" t="s">
        <v>19</v>
      </c>
      <c r="I23">
        <v>48741</v>
      </c>
      <c r="J23">
        <v>10</v>
      </c>
      <c r="K23" t="s">
        <v>49</v>
      </c>
      <c r="L23">
        <v>4911.53</v>
      </c>
      <c r="M23" t="str">
        <f t="shared" si="0"/>
        <v>Aug</v>
      </c>
      <c r="N23">
        <f t="shared" si="1"/>
        <v>2025</v>
      </c>
    </row>
    <row r="24" spans="1:14" x14ac:dyDescent="0.3">
      <c r="A24" t="s">
        <v>102</v>
      </c>
      <c r="B24" s="5">
        <v>45757</v>
      </c>
      <c r="C24" t="s">
        <v>72</v>
      </c>
      <c r="D24" t="s">
        <v>32</v>
      </c>
      <c r="E24" t="s">
        <v>45</v>
      </c>
      <c r="F24" t="s">
        <v>17</v>
      </c>
      <c r="G24" t="s">
        <v>104</v>
      </c>
      <c r="H24" t="s">
        <v>105</v>
      </c>
      <c r="I24">
        <v>21133</v>
      </c>
      <c r="J24">
        <v>4</v>
      </c>
      <c r="K24" t="s">
        <v>34</v>
      </c>
      <c r="L24">
        <v>3996.61</v>
      </c>
      <c r="M24" t="str">
        <f t="shared" si="0"/>
        <v>Apr</v>
      </c>
      <c r="N24">
        <f t="shared" si="1"/>
        <v>2025</v>
      </c>
    </row>
    <row r="25" spans="1:14" x14ac:dyDescent="0.3">
      <c r="A25" t="s">
        <v>106</v>
      </c>
      <c r="B25" s="5">
        <v>45961</v>
      </c>
      <c r="C25" t="s">
        <v>14</v>
      </c>
      <c r="D25" t="s">
        <v>23</v>
      </c>
      <c r="E25" t="s">
        <v>24</v>
      </c>
      <c r="F25" t="s">
        <v>46</v>
      </c>
      <c r="G25" t="s">
        <v>47</v>
      </c>
      <c r="H25" t="s">
        <v>48</v>
      </c>
      <c r="I25">
        <v>54478</v>
      </c>
      <c r="J25">
        <v>6</v>
      </c>
      <c r="K25" t="s">
        <v>20</v>
      </c>
      <c r="L25">
        <v>13003.11</v>
      </c>
      <c r="M25" t="str">
        <f t="shared" si="0"/>
        <v>Oct</v>
      </c>
      <c r="N25">
        <f t="shared" si="1"/>
        <v>2025</v>
      </c>
    </row>
    <row r="26" spans="1:14" x14ac:dyDescent="0.3">
      <c r="A26" t="s">
        <v>108</v>
      </c>
      <c r="B26" s="5">
        <v>46019</v>
      </c>
      <c r="C26" t="s">
        <v>91</v>
      </c>
      <c r="D26" t="s">
        <v>32</v>
      </c>
      <c r="E26" t="s">
        <v>33</v>
      </c>
      <c r="F26" t="s">
        <v>17</v>
      </c>
      <c r="G26" t="s">
        <v>76</v>
      </c>
      <c r="H26" t="s">
        <v>77</v>
      </c>
      <c r="I26">
        <v>9761</v>
      </c>
      <c r="J26">
        <v>3</v>
      </c>
      <c r="K26" t="s">
        <v>20</v>
      </c>
      <c r="L26">
        <v>1522.74</v>
      </c>
      <c r="M26" t="str">
        <f t="shared" si="0"/>
        <v>Dec</v>
      </c>
      <c r="N26">
        <f t="shared" si="1"/>
        <v>2025</v>
      </c>
    </row>
    <row r="27" spans="1:14" x14ac:dyDescent="0.3">
      <c r="A27" t="s">
        <v>110</v>
      </c>
      <c r="B27" s="5">
        <v>45823</v>
      </c>
      <c r="C27" t="s">
        <v>91</v>
      </c>
      <c r="D27" t="s">
        <v>38</v>
      </c>
      <c r="E27" t="s">
        <v>39</v>
      </c>
      <c r="F27" t="s">
        <v>46</v>
      </c>
      <c r="G27" t="s">
        <v>94</v>
      </c>
      <c r="H27" t="s">
        <v>95</v>
      </c>
      <c r="I27">
        <v>67807</v>
      </c>
      <c r="J27">
        <v>7</v>
      </c>
      <c r="K27" t="s">
        <v>28</v>
      </c>
      <c r="L27">
        <v>10467.02</v>
      </c>
      <c r="M27" t="str">
        <f t="shared" si="0"/>
        <v>Jun</v>
      </c>
      <c r="N27">
        <f t="shared" si="1"/>
        <v>2025</v>
      </c>
    </row>
    <row r="28" spans="1:14" x14ac:dyDescent="0.3">
      <c r="A28" t="s">
        <v>112</v>
      </c>
      <c r="B28" s="5">
        <v>45840</v>
      </c>
      <c r="C28" t="s">
        <v>72</v>
      </c>
      <c r="D28" t="s">
        <v>15</v>
      </c>
      <c r="E28" t="s">
        <v>16</v>
      </c>
      <c r="F28" t="s">
        <v>46</v>
      </c>
      <c r="G28" t="s">
        <v>94</v>
      </c>
      <c r="H28" t="s">
        <v>95</v>
      </c>
      <c r="I28">
        <v>33451</v>
      </c>
      <c r="J28">
        <v>5</v>
      </c>
      <c r="K28" t="s">
        <v>34</v>
      </c>
      <c r="L28">
        <v>5343.79</v>
      </c>
      <c r="M28" t="str">
        <f t="shared" si="0"/>
        <v>Jul</v>
      </c>
      <c r="N28">
        <f t="shared" si="1"/>
        <v>2025</v>
      </c>
    </row>
    <row r="29" spans="1:14" x14ac:dyDescent="0.3">
      <c r="A29" t="s">
        <v>114</v>
      </c>
      <c r="B29" s="5">
        <v>45700</v>
      </c>
      <c r="C29" t="s">
        <v>72</v>
      </c>
      <c r="D29" t="s">
        <v>32</v>
      </c>
      <c r="E29" t="s">
        <v>116</v>
      </c>
      <c r="F29" t="s">
        <v>17</v>
      </c>
      <c r="G29" t="s">
        <v>104</v>
      </c>
      <c r="H29" t="s">
        <v>105</v>
      </c>
      <c r="I29">
        <v>14220</v>
      </c>
      <c r="J29">
        <v>8</v>
      </c>
      <c r="K29" t="s">
        <v>28</v>
      </c>
      <c r="L29">
        <v>3743.48</v>
      </c>
      <c r="M29" t="str">
        <f t="shared" si="0"/>
        <v>Feb</v>
      </c>
      <c r="N29">
        <f t="shared" si="1"/>
        <v>2025</v>
      </c>
    </row>
    <row r="30" spans="1:14" x14ac:dyDescent="0.3">
      <c r="A30" t="s">
        <v>117</v>
      </c>
      <c r="B30" s="5">
        <v>45931</v>
      </c>
      <c r="C30" t="s">
        <v>72</v>
      </c>
      <c r="D30" t="s">
        <v>38</v>
      </c>
      <c r="E30" t="s">
        <v>39</v>
      </c>
      <c r="F30" t="s">
        <v>25</v>
      </c>
      <c r="G30" t="s">
        <v>26</v>
      </c>
      <c r="H30" t="s">
        <v>27</v>
      </c>
      <c r="I30">
        <v>70693</v>
      </c>
      <c r="J30">
        <v>3</v>
      </c>
      <c r="K30" t="s">
        <v>53</v>
      </c>
      <c r="L30">
        <v>6773.02</v>
      </c>
      <c r="M30" t="str">
        <f t="shared" si="0"/>
        <v>Oct</v>
      </c>
      <c r="N30">
        <f t="shared" si="1"/>
        <v>2025</v>
      </c>
    </row>
    <row r="31" spans="1:14" x14ac:dyDescent="0.3">
      <c r="A31" t="s">
        <v>119</v>
      </c>
      <c r="B31" s="5">
        <v>45714</v>
      </c>
      <c r="C31" t="s">
        <v>121</v>
      </c>
      <c r="D31" t="s">
        <v>23</v>
      </c>
      <c r="E31" t="s">
        <v>24</v>
      </c>
      <c r="F31" t="s">
        <v>25</v>
      </c>
      <c r="G31" t="s">
        <v>57</v>
      </c>
      <c r="H31" t="s">
        <v>58</v>
      </c>
      <c r="I31">
        <v>43964</v>
      </c>
      <c r="J31">
        <v>2</v>
      </c>
      <c r="K31" t="s">
        <v>28</v>
      </c>
      <c r="L31">
        <v>4299.1099999999997</v>
      </c>
      <c r="M31" t="str">
        <f t="shared" si="0"/>
        <v>Feb</v>
      </c>
      <c r="N31">
        <f t="shared" si="1"/>
        <v>2025</v>
      </c>
    </row>
    <row r="32" spans="1:14" x14ac:dyDescent="0.3">
      <c r="A32" t="s">
        <v>122</v>
      </c>
      <c r="B32" s="5">
        <v>45950</v>
      </c>
      <c r="C32" t="s">
        <v>31</v>
      </c>
      <c r="D32" t="s">
        <v>15</v>
      </c>
      <c r="E32" t="s">
        <v>73</v>
      </c>
      <c r="F32" t="s">
        <v>46</v>
      </c>
      <c r="G32" t="s">
        <v>47</v>
      </c>
      <c r="H32" t="s">
        <v>48</v>
      </c>
      <c r="I32">
        <v>72443</v>
      </c>
      <c r="J32">
        <v>1</v>
      </c>
      <c r="K32" t="s">
        <v>28</v>
      </c>
      <c r="L32">
        <v>8374.18</v>
      </c>
      <c r="M32" t="str">
        <f t="shared" si="0"/>
        <v>Oct</v>
      </c>
      <c r="N32">
        <f t="shared" si="1"/>
        <v>2025</v>
      </c>
    </row>
    <row r="33" spans="1:14" x14ac:dyDescent="0.3">
      <c r="A33" t="s">
        <v>124</v>
      </c>
      <c r="B33" s="5">
        <v>45692</v>
      </c>
      <c r="C33" t="s">
        <v>31</v>
      </c>
      <c r="D33" t="s">
        <v>38</v>
      </c>
      <c r="E33" t="s">
        <v>39</v>
      </c>
      <c r="F33" t="s">
        <v>17</v>
      </c>
      <c r="G33" t="s">
        <v>76</v>
      </c>
      <c r="H33" t="s">
        <v>77</v>
      </c>
      <c r="I33">
        <v>29945</v>
      </c>
      <c r="J33">
        <v>1</v>
      </c>
      <c r="K33" t="s">
        <v>28</v>
      </c>
      <c r="L33">
        <v>4787.38</v>
      </c>
      <c r="M33" t="str">
        <f t="shared" si="0"/>
        <v>Feb</v>
      </c>
      <c r="N33">
        <f t="shared" si="1"/>
        <v>2025</v>
      </c>
    </row>
    <row r="34" spans="1:14" x14ac:dyDescent="0.3">
      <c r="A34" t="s">
        <v>126</v>
      </c>
      <c r="B34" s="5">
        <v>45700</v>
      </c>
      <c r="C34" t="s">
        <v>72</v>
      </c>
      <c r="D34" t="s">
        <v>32</v>
      </c>
      <c r="E34" t="s">
        <v>33</v>
      </c>
      <c r="F34" t="s">
        <v>46</v>
      </c>
      <c r="G34" t="s">
        <v>47</v>
      </c>
      <c r="H34" t="s">
        <v>48</v>
      </c>
      <c r="I34">
        <v>56305</v>
      </c>
      <c r="J34">
        <v>3</v>
      </c>
      <c r="K34" t="s">
        <v>28</v>
      </c>
      <c r="L34">
        <v>13420.19</v>
      </c>
      <c r="M34" t="str">
        <f t="shared" si="0"/>
        <v>Feb</v>
      </c>
      <c r="N34">
        <f t="shared" si="1"/>
        <v>2025</v>
      </c>
    </row>
    <row r="35" spans="1:14" x14ac:dyDescent="0.3">
      <c r="A35" t="s">
        <v>127</v>
      </c>
      <c r="B35" s="5">
        <v>45839</v>
      </c>
      <c r="C35" t="s">
        <v>14</v>
      </c>
      <c r="D35" t="s">
        <v>23</v>
      </c>
      <c r="E35" t="s">
        <v>129</v>
      </c>
      <c r="F35" t="s">
        <v>17</v>
      </c>
      <c r="G35" t="s">
        <v>18</v>
      </c>
      <c r="H35" t="s">
        <v>19</v>
      </c>
      <c r="I35">
        <v>17461</v>
      </c>
      <c r="J35">
        <v>10</v>
      </c>
      <c r="K35" t="s">
        <v>20</v>
      </c>
      <c r="L35">
        <v>2897.84</v>
      </c>
      <c r="M35" t="str">
        <f t="shared" si="0"/>
        <v>Jul</v>
      </c>
      <c r="N35">
        <f t="shared" si="1"/>
        <v>2025</v>
      </c>
    </row>
    <row r="36" spans="1:14" x14ac:dyDescent="0.3">
      <c r="A36" t="s">
        <v>130</v>
      </c>
      <c r="B36" s="5">
        <v>45698</v>
      </c>
      <c r="C36" t="s">
        <v>14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>
        <v>61696</v>
      </c>
      <c r="J36">
        <v>7</v>
      </c>
      <c r="K36" t="s">
        <v>34</v>
      </c>
      <c r="L36">
        <v>4771.32</v>
      </c>
      <c r="M36" t="str">
        <f t="shared" si="0"/>
        <v>Feb</v>
      </c>
      <c r="N36">
        <f t="shared" si="1"/>
        <v>2025</v>
      </c>
    </row>
    <row r="37" spans="1:14" x14ac:dyDescent="0.3">
      <c r="A37" t="s">
        <v>132</v>
      </c>
      <c r="B37" s="5">
        <v>45683</v>
      </c>
      <c r="C37" t="s">
        <v>31</v>
      </c>
      <c r="D37" t="s">
        <v>38</v>
      </c>
      <c r="E37" t="s">
        <v>52</v>
      </c>
      <c r="F37" t="s">
        <v>46</v>
      </c>
      <c r="G37" t="s">
        <v>47</v>
      </c>
      <c r="H37" t="s">
        <v>48</v>
      </c>
      <c r="I37">
        <v>25408</v>
      </c>
      <c r="J37">
        <v>9</v>
      </c>
      <c r="K37" t="s">
        <v>20</v>
      </c>
      <c r="L37">
        <v>6261.98</v>
      </c>
      <c r="M37" t="str">
        <f t="shared" si="0"/>
        <v>Jan</v>
      </c>
      <c r="N37">
        <f t="shared" si="1"/>
        <v>2025</v>
      </c>
    </row>
    <row r="38" spans="1:14" x14ac:dyDescent="0.3">
      <c r="A38" t="s">
        <v>134</v>
      </c>
      <c r="B38" s="5">
        <v>46003</v>
      </c>
      <c r="C38" t="s">
        <v>66</v>
      </c>
      <c r="D38" t="s">
        <v>32</v>
      </c>
      <c r="E38" t="s">
        <v>33</v>
      </c>
      <c r="F38" t="s">
        <v>17</v>
      </c>
      <c r="G38" t="s">
        <v>76</v>
      </c>
      <c r="H38" t="s">
        <v>77</v>
      </c>
      <c r="I38">
        <v>34525</v>
      </c>
      <c r="J38">
        <v>4</v>
      </c>
      <c r="K38" t="s">
        <v>28</v>
      </c>
      <c r="L38">
        <v>6076.08</v>
      </c>
      <c r="M38" t="str">
        <f t="shared" si="0"/>
        <v>Dec</v>
      </c>
      <c r="N38">
        <f t="shared" si="1"/>
        <v>2025</v>
      </c>
    </row>
    <row r="39" spans="1:14" x14ac:dyDescent="0.3">
      <c r="A39" t="s">
        <v>136</v>
      </c>
      <c r="B39" s="5">
        <v>45986</v>
      </c>
      <c r="C39" t="s">
        <v>37</v>
      </c>
      <c r="D39" t="s">
        <v>32</v>
      </c>
      <c r="E39" t="s">
        <v>45</v>
      </c>
      <c r="F39" t="s">
        <v>25</v>
      </c>
      <c r="G39" t="s">
        <v>26</v>
      </c>
      <c r="H39" t="s">
        <v>27</v>
      </c>
      <c r="I39">
        <v>21885</v>
      </c>
      <c r="J39">
        <v>4</v>
      </c>
      <c r="K39" t="s">
        <v>20</v>
      </c>
      <c r="L39">
        <v>3603.51</v>
      </c>
      <c r="M39" t="str">
        <f t="shared" si="0"/>
        <v>Nov</v>
      </c>
      <c r="N39">
        <f t="shared" si="1"/>
        <v>2025</v>
      </c>
    </row>
    <row r="40" spans="1:14" x14ac:dyDescent="0.3">
      <c r="A40" t="s">
        <v>138</v>
      </c>
      <c r="B40" s="5">
        <v>45860</v>
      </c>
      <c r="C40" t="s">
        <v>91</v>
      </c>
      <c r="D40" t="s">
        <v>23</v>
      </c>
      <c r="E40" t="s">
        <v>82</v>
      </c>
      <c r="F40" t="s">
        <v>46</v>
      </c>
      <c r="G40" t="s">
        <v>87</v>
      </c>
      <c r="H40" t="s">
        <v>88</v>
      </c>
      <c r="I40">
        <v>17100</v>
      </c>
      <c r="J40">
        <v>2</v>
      </c>
      <c r="K40" t="s">
        <v>28</v>
      </c>
      <c r="L40">
        <v>1699.21</v>
      </c>
      <c r="M40" t="str">
        <f t="shared" si="0"/>
        <v>Jul</v>
      </c>
      <c r="N40">
        <f t="shared" si="1"/>
        <v>2025</v>
      </c>
    </row>
    <row r="41" spans="1:14" x14ac:dyDescent="0.3">
      <c r="A41" t="s">
        <v>140</v>
      </c>
      <c r="B41" s="5">
        <v>46020</v>
      </c>
      <c r="C41" t="s">
        <v>37</v>
      </c>
      <c r="D41" t="s">
        <v>38</v>
      </c>
      <c r="E41" t="s">
        <v>67</v>
      </c>
      <c r="F41" t="s">
        <v>25</v>
      </c>
      <c r="G41" t="s">
        <v>40</v>
      </c>
      <c r="H41" t="s">
        <v>41</v>
      </c>
      <c r="I41">
        <v>52243</v>
      </c>
      <c r="J41">
        <v>7</v>
      </c>
      <c r="K41" t="s">
        <v>34</v>
      </c>
      <c r="L41">
        <v>13263.44</v>
      </c>
      <c r="M41" t="str">
        <f t="shared" si="0"/>
        <v>Dec</v>
      </c>
      <c r="N41">
        <f t="shared" si="1"/>
        <v>2025</v>
      </c>
    </row>
    <row r="42" spans="1:14" x14ac:dyDescent="0.3">
      <c r="A42" t="s">
        <v>142</v>
      </c>
      <c r="B42" s="5">
        <v>45817</v>
      </c>
      <c r="C42" t="s">
        <v>72</v>
      </c>
      <c r="D42" t="s">
        <v>23</v>
      </c>
      <c r="E42" t="s">
        <v>129</v>
      </c>
      <c r="F42" t="s">
        <v>25</v>
      </c>
      <c r="G42" t="s">
        <v>26</v>
      </c>
      <c r="H42" t="s">
        <v>27</v>
      </c>
      <c r="I42">
        <v>64196</v>
      </c>
      <c r="J42">
        <v>2</v>
      </c>
      <c r="K42" t="s">
        <v>53</v>
      </c>
      <c r="L42">
        <v>6694.5</v>
      </c>
      <c r="M42" t="str">
        <f t="shared" si="0"/>
        <v>Jun</v>
      </c>
      <c r="N42">
        <f t="shared" si="1"/>
        <v>2025</v>
      </c>
    </row>
    <row r="43" spans="1:14" x14ac:dyDescent="0.3">
      <c r="A43" t="s">
        <v>144</v>
      </c>
      <c r="B43" s="5">
        <v>45829</v>
      </c>
      <c r="C43" t="s">
        <v>121</v>
      </c>
      <c r="D43" t="s">
        <v>32</v>
      </c>
      <c r="E43" t="s">
        <v>116</v>
      </c>
      <c r="F43" t="s">
        <v>46</v>
      </c>
      <c r="G43" t="s">
        <v>94</v>
      </c>
      <c r="H43" t="s">
        <v>95</v>
      </c>
      <c r="I43">
        <v>33488</v>
      </c>
      <c r="J43">
        <v>6</v>
      </c>
      <c r="K43" t="s">
        <v>34</v>
      </c>
      <c r="L43">
        <v>3372.96</v>
      </c>
      <c r="M43" t="str">
        <f t="shared" si="0"/>
        <v>Jun</v>
      </c>
      <c r="N43">
        <f t="shared" si="1"/>
        <v>2025</v>
      </c>
    </row>
    <row r="44" spans="1:14" x14ac:dyDescent="0.3">
      <c r="A44" t="s">
        <v>146</v>
      </c>
      <c r="B44" s="5">
        <v>45963</v>
      </c>
      <c r="C44" t="s">
        <v>63</v>
      </c>
      <c r="D44" t="s">
        <v>32</v>
      </c>
      <c r="E44" t="s">
        <v>116</v>
      </c>
      <c r="F44" t="s">
        <v>25</v>
      </c>
      <c r="G44" t="s">
        <v>26</v>
      </c>
      <c r="H44" t="s">
        <v>27</v>
      </c>
      <c r="I44">
        <v>68813</v>
      </c>
      <c r="J44">
        <v>6</v>
      </c>
      <c r="K44" t="s">
        <v>53</v>
      </c>
      <c r="L44">
        <v>12039.43</v>
      </c>
      <c r="M44" t="str">
        <f t="shared" si="0"/>
        <v>Nov</v>
      </c>
      <c r="N44">
        <f t="shared" si="1"/>
        <v>2025</v>
      </c>
    </row>
    <row r="45" spans="1:14" x14ac:dyDescent="0.3">
      <c r="A45" t="s">
        <v>148</v>
      </c>
      <c r="B45" s="5">
        <v>45798</v>
      </c>
      <c r="C45" t="s">
        <v>121</v>
      </c>
      <c r="D45" t="s">
        <v>23</v>
      </c>
      <c r="E45" t="s">
        <v>82</v>
      </c>
      <c r="F45" t="s">
        <v>25</v>
      </c>
      <c r="G45" t="s">
        <v>26</v>
      </c>
      <c r="H45" t="s">
        <v>27</v>
      </c>
      <c r="I45">
        <v>71135</v>
      </c>
      <c r="J45">
        <v>7</v>
      </c>
      <c r="K45" t="s">
        <v>49</v>
      </c>
      <c r="L45">
        <v>8463.41</v>
      </c>
      <c r="M45" t="str">
        <f t="shared" si="0"/>
        <v>May</v>
      </c>
      <c r="N45">
        <f t="shared" si="1"/>
        <v>2025</v>
      </c>
    </row>
    <row r="46" spans="1:14" x14ac:dyDescent="0.3">
      <c r="A46" t="s">
        <v>150</v>
      </c>
      <c r="B46" s="5">
        <v>45665</v>
      </c>
      <c r="C46" t="s">
        <v>91</v>
      </c>
      <c r="D46" t="s">
        <v>38</v>
      </c>
      <c r="E46" t="s">
        <v>67</v>
      </c>
      <c r="F46" t="s">
        <v>17</v>
      </c>
      <c r="G46" t="s">
        <v>18</v>
      </c>
      <c r="H46" t="s">
        <v>19</v>
      </c>
      <c r="I46">
        <v>59659</v>
      </c>
      <c r="J46">
        <v>2</v>
      </c>
      <c r="K46" t="s">
        <v>49</v>
      </c>
      <c r="L46">
        <v>12298.21</v>
      </c>
      <c r="M46" t="str">
        <f t="shared" si="0"/>
        <v>Jan</v>
      </c>
      <c r="N46">
        <f t="shared" si="1"/>
        <v>2025</v>
      </c>
    </row>
    <row r="47" spans="1:14" x14ac:dyDescent="0.3">
      <c r="A47" t="s">
        <v>152</v>
      </c>
      <c r="B47" s="5">
        <v>45730</v>
      </c>
      <c r="C47" t="s">
        <v>63</v>
      </c>
      <c r="D47" t="s">
        <v>15</v>
      </c>
      <c r="E47" t="s">
        <v>154</v>
      </c>
      <c r="F47" t="s">
        <v>17</v>
      </c>
      <c r="G47" t="s">
        <v>76</v>
      </c>
      <c r="H47" t="s">
        <v>77</v>
      </c>
      <c r="I47">
        <v>4027</v>
      </c>
      <c r="J47">
        <v>6</v>
      </c>
      <c r="K47" t="s">
        <v>53</v>
      </c>
      <c r="L47">
        <v>608.17999999999995</v>
      </c>
      <c r="M47" t="str">
        <f t="shared" si="0"/>
        <v>Mar</v>
      </c>
      <c r="N47">
        <f t="shared" si="1"/>
        <v>2025</v>
      </c>
    </row>
    <row r="48" spans="1:14" x14ac:dyDescent="0.3">
      <c r="A48" t="s">
        <v>155</v>
      </c>
      <c r="B48" s="5">
        <v>45781</v>
      </c>
      <c r="C48" t="s">
        <v>56</v>
      </c>
      <c r="D48" t="s">
        <v>15</v>
      </c>
      <c r="E48" t="s">
        <v>16</v>
      </c>
      <c r="F48" t="s">
        <v>17</v>
      </c>
      <c r="G48" t="s">
        <v>76</v>
      </c>
      <c r="H48" t="s">
        <v>77</v>
      </c>
      <c r="I48">
        <v>20415</v>
      </c>
      <c r="J48">
        <v>5</v>
      </c>
      <c r="K48" t="s">
        <v>20</v>
      </c>
      <c r="L48">
        <v>3754.62</v>
      </c>
      <c r="M48" t="str">
        <f t="shared" si="0"/>
        <v>May</v>
      </c>
      <c r="N48">
        <f t="shared" si="1"/>
        <v>2025</v>
      </c>
    </row>
    <row r="49" spans="1:14" x14ac:dyDescent="0.3">
      <c r="A49" t="s">
        <v>157</v>
      </c>
      <c r="B49" s="5">
        <v>45898</v>
      </c>
      <c r="C49" t="s">
        <v>66</v>
      </c>
      <c r="D49" t="s">
        <v>38</v>
      </c>
      <c r="E49" t="s">
        <v>67</v>
      </c>
      <c r="F49" t="s">
        <v>46</v>
      </c>
      <c r="G49" t="s">
        <v>47</v>
      </c>
      <c r="H49" t="s">
        <v>48</v>
      </c>
      <c r="I49">
        <v>19150</v>
      </c>
      <c r="J49">
        <v>8</v>
      </c>
      <c r="K49" t="s">
        <v>34</v>
      </c>
      <c r="L49">
        <v>3776.13</v>
      </c>
      <c r="M49" t="str">
        <f t="shared" si="0"/>
        <v>Aug</v>
      </c>
      <c r="N49">
        <f t="shared" si="1"/>
        <v>2025</v>
      </c>
    </row>
    <row r="50" spans="1:14" x14ac:dyDescent="0.3">
      <c r="A50" t="s">
        <v>159</v>
      </c>
      <c r="B50" s="5">
        <v>45779</v>
      </c>
      <c r="C50" t="s">
        <v>44</v>
      </c>
      <c r="D50" t="s">
        <v>38</v>
      </c>
      <c r="E50" t="s">
        <v>39</v>
      </c>
      <c r="F50" t="s">
        <v>25</v>
      </c>
      <c r="G50" t="s">
        <v>40</v>
      </c>
      <c r="H50" t="s">
        <v>41</v>
      </c>
      <c r="I50">
        <v>56134</v>
      </c>
      <c r="J50">
        <v>10</v>
      </c>
      <c r="K50" t="s">
        <v>20</v>
      </c>
      <c r="L50">
        <v>7179.75</v>
      </c>
      <c r="M50" t="str">
        <f t="shared" si="0"/>
        <v>May</v>
      </c>
      <c r="N50">
        <f t="shared" si="1"/>
        <v>2025</v>
      </c>
    </row>
    <row r="51" spans="1:14" x14ac:dyDescent="0.3">
      <c r="A51" t="s">
        <v>161</v>
      </c>
      <c r="B51" s="5">
        <v>45813</v>
      </c>
      <c r="C51" t="s">
        <v>44</v>
      </c>
      <c r="D51" t="s">
        <v>15</v>
      </c>
      <c r="E51" t="s">
        <v>16</v>
      </c>
      <c r="F51" t="s">
        <v>17</v>
      </c>
      <c r="G51" t="s">
        <v>104</v>
      </c>
      <c r="H51" t="s">
        <v>105</v>
      </c>
      <c r="I51">
        <v>71881</v>
      </c>
      <c r="J51">
        <v>2</v>
      </c>
      <c r="K51" t="s">
        <v>28</v>
      </c>
      <c r="L51">
        <v>11678.57</v>
      </c>
      <c r="M51" t="str">
        <f t="shared" si="0"/>
        <v>Jun</v>
      </c>
      <c r="N51">
        <f t="shared" si="1"/>
        <v>2025</v>
      </c>
    </row>
    <row r="52" spans="1:14" x14ac:dyDescent="0.3">
      <c r="A52" t="s">
        <v>163</v>
      </c>
      <c r="B52" s="5">
        <v>45701</v>
      </c>
      <c r="C52" t="s">
        <v>63</v>
      </c>
      <c r="D52" t="s">
        <v>38</v>
      </c>
      <c r="E52" t="s">
        <v>39</v>
      </c>
      <c r="F52" t="s">
        <v>25</v>
      </c>
      <c r="G52" t="s">
        <v>40</v>
      </c>
      <c r="H52" t="s">
        <v>41</v>
      </c>
      <c r="I52">
        <v>23550</v>
      </c>
      <c r="J52">
        <v>10</v>
      </c>
      <c r="K52" t="s">
        <v>53</v>
      </c>
      <c r="L52">
        <v>5355.86</v>
      </c>
      <c r="M52" t="str">
        <f t="shared" si="0"/>
        <v>Feb</v>
      </c>
      <c r="N52">
        <f t="shared" si="1"/>
        <v>2025</v>
      </c>
    </row>
    <row r="53" spans="1:14" x14ac:dyDescent="0.3">
      <c r="A53" t="s">
        <v>165</v>
      </c>
      <c r="B53" s="5">
        <v>45763</v>
      </c>
      <c r="C53" t="s">
        <v>72</v>
      </c>
      <c r="D53" t="s">
        <v>38</v>
      </c>
      <c r="E53" t="s">
        <v>67</v>
      </c>
      <c r="F53" t="s">
        <v>17</v>
      </c>
      <c r="G53" t="s">
        <v>18</v>
      </c>
      <c r="H53" t="s">
        <v>19</v>
      </c>
      <c r="I53">
        <v>45243</v>
      </c>
      <c r="J53">
        <v>5</v>
      </c>
      <c r="K53" t="s">
        <v>28</v>
      </c>
      <c r="L53">
        <v>6001.71</v>
      </c>
      <c r="M53" t="str">
        <f t="shared" si="0"/>
        <v>Apr</v>
      </c>
      <c r="N53">
        <f t="shared" si="1"/>
        <v>2025</v>
      </c>
    </row>
    <row r="54" spans="1:14" x14ac:dyDescent="0.3">
      <c r="A54" t="s">
        <v>167</v>
      </c>
      <c r="B54" s="5">
        <v>45836</v>
      </c>
      <c r="C54" t="s">
        <v>44</v>
      </c>
      <c r="D54" t="s">
        <v>32</v>
      </c>
      <c r="E54" t="s">
        <v>45</v>
      </c>
      <c r="F54" t="s">
        <v>46</v>
      </c>
      <c r="G54" t="s">
        <v>87</v>
      </c>
      <c r="H54" t="s">
        <v>88</v>
      </c>
      <c r="I54">
        <v>33774</v>
      </c>
      <c r="J54">
        <v>5</v>
      </c>
      <c r="K54" t="s">
        <v>20</v>
      </c>
      <c r="L54">
        <v>4896.33</v>
      </c>
      <c r="M54" t="str">
        <f t="shared" si="0"/>
        <v>Jun</v>
      </c>
      <c r="N54">
        <f t="shared" si="1"/>
        <v>2025</v>
      </c>
    </row>
    <row r="55" spans="1:14" x14ac:dyDescent="0.3">
      <c r="A55" t="s">
        <v>168</v>
      </c>
      <c r="B55" s="5">
        <v>45889</v>
      </c>
      <c r="C55" t="s">
        <v>31</v>
      </c>
      <c r="D55" t="s">
        <v>38</v>
      </c>
      <c r="E55" t="s">
        <v>67</v>
      </c>
      <c r="F55" t="s">
        <v>46</v>
      </c>
      <c r="G55" t="s">
        <v>47</v>
      </c>
      <c r="H55" t="s">
        <v>48</v>
      </c>
      <c r="I55">
        <v>53928</v>
      </c>
      <c r="J55">
        <v>3</v>
      </c>
      <c r="K55" t="s">
        <v>49</v>
      </c>
      <c r="L55">
        <v>7899.22</v>
      </c>
      <c r="M55" t="str">
        <f t="shared" si="0"/>
        <v>Aug</v>
      </c>
      <c r="N55">
        <f t="shared" si="1"/>
        <v>2025</v>
      </c>
    </row>
    <row r="56" spans="1:14" x14ac:dyDescent="0.3">
      <c r="A56" t="s">
        <v>169</v>
      </c>
      <c r="B56" s="5">
        <v>45832</v>
      </c>
      <c r="C56" t="s">
        <v>66</v>
      </c>
      <c r="D56" t="s">
        <v>15</v>
      </c>
      <c r="E56" t="s">
        <v>16</v>
      </c>
      <c r="F56" t="s">
        <v>46</v>
      </c>
      <c r="G56" t="s">
        <v>94</v>
      </c>
      <c r="H56" t="s">
        <v>95</v>
      </c>
      <c r="I56">
        <v>41675</v>
      </c>
      <c r="J56">
        <v>3</v>
      </c>
      <c r="K56" t="s">
        <v>34</v>
      </c>
      <c r="L56">
        <v>6171.49</v>
      </c>
      <c r="M56" t="str">
        <f t="shared" si="0"/>
        <v>Jun</v>
      </c>
      <c r="N56">
        <f t="shared" si="1"/>
        <v>2025</v>
      </c>
    </row>
    <row r="57" spans="1:14" x14ac:dyDescent="0.3">
      <c r="A57" t="s">
        <v>171</v>
      </c>
      <c r="B57" s="5">
        <v>45999</v>
      </c>
      <c r="C57" t="s">
        <v>66</v>
      </c>
      <c r="D57" t="s">
        <v>32</v>
      </c>
      <c r="E57" t="s">
        <v>116</v>
      </c>
      <c r="F57" t="s">
        <v>17</v>
      </c>
      <c r="G57" t="s">
        <v>76</v>
      </c>
      <c r="H57" t="s">
        <v>77</v>
      </c>
      <c r="I57">
        <v>20881</v>
      </c>
      <c r="J57">
        <v>2</v>
      </c>
      <c r="K57" t="s">
        <v>28</v>
      </c>
      <c r="L57">
        <v>4520.1000000000004</v>
      </c>
      <c r="M57" t="str">
        <f t="shared" si="0"/>
        <v>Dec</v>
      </c>
      <c r="N57">
        <f t="shared" si="1"/>
        <v>2025</v>
      </c>
    </row>
    <row r="58" spans="1:14" x14ac:dyDescent="0.3">
      <c r="A58" t="s">
        <v>173</v>
      </c>
      <c r="B58" s="5">
        <v>45696</v>
      </c>
      <c r="C58" t="s">
        <v>91</v>
      </c>
      <c r="D58" t="s">
        <v>32</v>
      </c>
      <c r="E58" t="s">
        <v>33</v>
      </c>
      <c r="F58" t="s">
        <v>46</v>
      </c>
      <c r="G58" t="s">
        <v>94</v>
      </c>
      <c r="H58" t="s">
        <v>95</v>
      </c>
      <c r="I58">
        <v>47721</v>
      </c>
      <c r="J58">
        <v>10</v>
      </c>
      <c r="K58" t="s">
        <v>28</v>
      </c>
      <c r="L58">
        <v>11438.47</v>
      </c>
      <c r="M58" t="str">
        <f t="shared" si="0"/>
        <v>Feb</v>
      </c>
      <c r="N58">
        <f t="shared" si="1"/>
        <v>2025</v>
      </c>
    </row>
    <row r="59" spans="1:14" x14ac:dyDescent="0.3">
      <c r="A59" t="s">
        <v>175</v>
      </c>
      <c r="B59" s="5">
        <v>45942</v>
      </c>
      <c r="C59" t="s">
        <v>66</v>
      </c>
      <c r="D59" t="s">
        <v>23</v>
      </c>
      <c r="E59" t="s">
        <v>24</v>
      </c>
      <c r="F59" t="s">
        <v>17</v>
      </c>
      <c r="G59" t="s">
        <v>76</v>
      </c>
      <c r="H59" t="s">
        <v>77</v>
      </c>
      <c r="I59">
        <v>4003</v>
      </c>
      <c r="J59">
        <v>4</v>
      </c>
      <c r="K59" t="s">
        <v>28</v>
      </c>
      <c r="L59">
        <v>613.92999999999995</v>
      </c>
      <c r="M59" t="str">
        <f t="shared" si="0"/>
        <v>Oct</v>
      </c>
      <c r="N59">
        <f t="shared" si="1"/>
        <v>2025</v>
      </c>
    </row>
    <row r="60" spans="1:14" x14ac:dyDescent="0.3">
      <c r="A60" t="s">
        <v>177</v>
      </c>
      <c r="B60" s="5">
        <v>45726</v>
      </c>
      <c r="C60" t="s">
        <v>121</v>
      </c>
      <c r="D60" t="s">
        <v>15</v>
      </c>
      <c r="E60" t="s">
        <v>73</v>
      </c>
      <c r="F60" t="s">
        <v>17</v>
      </c>
      <c r="G60" t="s">
        <v>76</v>
      </c>
      <c r="H60" t="s">
        <v>77</v>
      </c>
      <c r="I60">
        <v>32437</v>
      </c>
      <c r="J60">
        <v>2</v>
      </c>
      <c r="K60" t="s">
        <v>53</v>
      </c>
      <c r="L60">
        <v>3379.48</v>
      </c>
      <c r="M60" t="str">
        <f t="shared" si="0"/>
        <v>Mar</v>
      </c>
      <c r="N60">
        <f t="shared" si="1"/>
        <v>2025</v>
      </c>
    </row>
    <row r="61" spans="1:14" x14ac:dyDescent="0.3">
      <c r="A61" t="s">
        <v>179</v>
      </c>
      <c r="B61" s="5">
        <v>45824</v>
      </c>
      <c r="C61" t="s">
        <v>56</v>
      </c>
      <c r="D61" t="s">
        <v>23</v>
      </c>
      <c r="E61" t="s">
        <v>82</v>
      </c>
      <c r="F61" t="s">
        <v>17</v>
      </c>
      <c r="G61" t="s">
        <v>104</v>
      </c>
      <c r="H61" t="s">
        <v>105</v>
      </c>
      <c r="I61">
        <v>28984</v>
      </c>
      <c r="J61">
        <v>7</v>
      </c>
      <c r="K61" t="s">
        <v>34</v>
      </c>
      <c r="L61">
        <v>3872.66</v>
      </c>
      <c r="M61" t="str">
        <f t="shared" si="0"/>
        <v>Jun</v>
      </c>
      <c r="N61">
        <f t="shared" si="1"/>
        <v>2025</v>
      </c>
    </row>
    <row r="62" spans="1:14" x14ac:dyDescent="0.3">
      <c r="A62" t="s">
        <v>181</v>
      </c>
      <c r="B62" s="5">
        <v>45980</v>
      </c>
      <c r="C62" t="s">
        <v>121</v>
      </c>
      <c r="D62" t="s">
        <v>38</v>
      </c>
      <c r="E62" t="s">
        <v>67</v>
      </c>
      <c r="F62" t="s">
        <v>46</v>
      </c>
      <c r="G62" t="s">
        <v>47</v>
      </c>
      <c r="H62" t="s">
        <v>48</v>
      </c>
      <c r="I62">
        <v>9755</v>
      </c>
      <c r="J62">
        <v>5</v>
      </c>
      <c r="K62" t="s">
        <v>20</v>
      </c>
      <c r="L62">
        <v>1731.58</v>
      </c>
      <c r="M62" t="str">
        <f t="shared" si="0"/>
        <v>Nov</v>
      </c>
      <c r="N62">
        <f t="shared" si="1"/>
        <v>2025</v>
      </c>
    </row>
    <row r="63" spans="1:14" x14ac:dyDescent="0.3">
      <c r="A63" t="s">
        <v>183</v>
      </c>
      <c r="B63" s="5">
        <v>45807</v>
      </c>
      <c r="C63" t="s">
        <v>37</v>
      </c>
      <c r="D63" t="s">
        <v>23</v>
      </c>
      <c r="E63" t="s">
        <v>129</v>
      </c>
      <c r="F63" t="s">
        <v>46</v>
      </c>
      <c r="G63" t="s">
        <v>47</v>
      </c>
      <c r="H63" t="s">
        <v>48</v>
      </c>
      <c r="I63">
        <v>22293</v>
      </c>
      <c r="J63">
        <v>9</v>
      </c>
      <c r="K63" t="s">
        <v>34</v>
      </c>
      <c r="L63">
        <v>3668.35</v>
      </c>
      <c r="M63" t="str">
        <f t="shared" si="0"/>
        <v>May</v>
      </c>
      <c r="N63">
        <f t="shared" si="1"/>
        <v>2025</v>
      </c>
    </row>
    <row r="64" spans="1:14" x14ac:dyDescent="0.3">
      <c r="A64" t="s">
        <v>185</v>
      </c>
      <c r="B64" s="5">
        <v>45866</v>
      </c>
      <c r="C64" t="s">
        <v>44</v>
      </c>
      <c r="D64" t="s">
        <v>38</v>
      </c>
      <c r="E64" t="s">
        <v>67</v>
      </c>
      <c r="F64" t="s">
        <v>46</v>
      </c>
      <c r="G64" t="s">
        <v>94</v>
      </c>
      <c r="H64" t="s">
        <v>95</v>
      </c>
      <c r="I64">
        <v>76117</v>
      </c>
      <c r="J64">
        <v>6</v>
      </c>
      <c r="K64" t="s">
        <v>49</v>
      </c>
      <c r="L64">
        <v>19329.62</v>
      </c>
      <c r="M64" t="str">
        <f t="shared" si="0"/>
        <v>Jul</v>
      </c>
      <c r="N64">
        <f t="shared" si="1"/>
        <v>2025</v>
      </c>
    </row>
    <row r="65" spans="1:14" x14ac:dyDescent="0.3">
      <c r="A65" t="s">
        <v>187</v>
      </c>
      <c r="B65" s="5">
        <v>45980</v>
      </c>
      <c r="C65" t="s">
        <v>91</v>
      </c>
      <c r="D65" t="s">
        <v>23</v>
      </c>
      <c r="E65" t="s">
        <v>82</v>
      </c>
      <c r="F65" t="s">
        <v>46</v>
      </c>
      <c r="G65" t="s">
        <v>94</v>
      </c>
      <c r="H65" t="s">
        <v>95</v>
      </c>
      <c r="I65">
        <v>43469</v>
      </c>
      <c r="J65">
        <v>1</v>
      </c>
      <c r="K65" t="s">
        <v>28</v>
      </c>
      <c r="L65">
        <v>4005.84</v>
      </c>
      <c r="M65" t="str">
        <f t="shared" si="0"/>
        <v>Nov</v>
      </c>
      <c r="N65">
        <f t="shared" si="1"/>
        <v>2025</v>
      </c>
    </row>
    <row r="66" spans="1:14" x14ac:dyDescent="0.3">
      <c r="A66" t="s">
        <v>188</v>
      </c>
      <c r="B66" s="5">
        <v>45854</v>
      </c>
      <c r="C66" t="s">
        <v>72</v>
      </c>
      <c r="D66" t="s">
        <v>38</v>
      </c>
      <c r="E66" t="s">
        <v>52</v>
      </c>
      <c r="F66" t="s">
        <v>17</v>
      </c>
      <c r="G66" t="s">
        <v>18</v>
      </c>
      <c r="H66" t="s">
        <v>19</v>
      </c>
      <c r="I66">
        <v>27468</v>
      </c>
      <c r="J66">
        <v>3</v>
      </c>
      <c r="K66" t="s">
        <v>34</v>
      </c>
      <c r="L66">
        <v>5459.26</v>
      </c>
      <c r="M66" t="str">
        <f t="shared" si="0"/>
        <v>Jul</v>
      </c>
      <c r="N66">
        <f t="shared" si="1"/>
        <v>2025</v>
      </c>
    </row>
    <row r="67" spans="1:14" x14ac:dyDescent="0.3">
      <c r="A67" t="s">
        <v>190</v>
      </c>
      <c r="B67" s="5">
        <v>45861</v>
      </c>
      <c r="C67" t="s">
        <v>66</v>
      </c>
      <c r="D67" t="s">
        <v>38</v>
      </c>
      <c r="E67" t="s">
        <v>52</v>
      </c>
      <c r="F67" t="s">
        <v>25</v>
      </c>
      <c r="G67" t="s">
        <v>57</v>
      </c>
      <c r="H67" t="s">
        <v>58</v>
      </c>
      <c r="I67">
        <v>9145</v>
      </c>
      <c r="J67">
        <v>10</v>
      </c>
      <c r="K67" t="s">
        <v>49</v>
      </c>
      <c r="L67">
        <v>2044.22</v>
      </c>
      <c r="M67" t="str">
        <f t="shared" ref="M67:M130" si="2">TEXT(B67,"mmm")</f>
        <v>Jul</v>
      </c>
      <c r="N67">
        <f t="shared" ref="N67:N130" si="3">YEAR(B67)</f>
        <v>2025</v>
      </c>
    </row>
    <row r="68" spans="1:14" x14ac:dyDescent="0.3">
      <c r="A68" t="s">
        <v>192</v>
      </c>
      <c r="B68" s="5">
        <v>45950</v>
      </c>
      <c r="C68" t="s">
        <v>121</v>
      </c>
      <c r="D68" t="s">
        <v>23</v>
      </c>
      <c r="E68" t="s">
        <v>82</v>
      </c>
      <c r="F68" t="s">
        <v>17</v>
      </c>
      <c r="G68" t="s">
        <v>18</v>
      </c>
      <c r="H68" t="s">
        <v>19</v>
      </c>
      <c r="I68">
        <v>19266</v>
      </c>
      <c r="J68">
        <v>9</v>
      </c>
      <c r="K68" t="s">
        <v>34</v>
      </c>
      <c r="L68">
        <v>4151.43</v>
      </c>
      <c r="M68" t="str">
        <f t="shared" si="2"/>
        <v>Oct</v>
      </c>
      <c r="N68">
        <f t="shared" si="3"/>
        <v>2025</v>
      </c>
    </row>
    <row r="69" spans="1:14" x14ac:dyDescent="0.3">
      <c r="A69" t="s">
        <v>193</v>
      </c>
      <c r="B69" s="5">
        <v>45778</v>
      </c>
      <c r="C69" t="s">
        <v>121</v>
      </c>
      <c r="D69" t="s">
        <v>23</v>
      </c>
      <c r="E69" t="s">
        <v>82</v>
      </c>
      <c r="F69" t="s">
        <v>25</v>
      </c>
      <c r="G69" t="s">
        <v>40</v>
      </c>
      <c r="H69" t="s">
        <v>41</v>
      </c>
      <c r="I69">
        <v>57149</v>
      </c>
      <c r="J69">
        <v>3</v>
      </c>
      <c r="K69" t="s">
        <v>20</v>
      </c>
      <c r="L69">
        <v>10683.78</v>
      </c>
      <c r="M69" t="str">
        <f t="shared" si="2"/>
        <v>May</v>
      </c>
      <c r="N69">
        <f t="shared" si="3"/>
        <v>2025</v>
      </c>
    </row>
    <row r="70" spans="1:14" x14ac:dyDescent="0.3">
      <c r="A70" t="s">
        <v>195</v>
      </c>
      <c r="B70" s="5">
        <v>45967</v>
      </c>
      <c r="C70" t="s">
        <v>14</v>
      </c>
      <c r="D70" t="s">
        <v>32</v>
      </c>
      <c r="E70" t="s">
        <v>45</v>
      </c>
      <c r="F70" t="s">
        <v>25</v>
      </c>
      <c r="G70" t="s">
        <v>57</v>
      </c>
      <c r="H70" t="s">
        <v>58</v>
      </c>
      <c r="I70">
        <v>24011</v>
      </c>
      <c r="J70">
        <v>10</v>
      </c>
      <c r="K70" t="s">
        <v>53</v>
      </c>
      <c r="L70">
        <v>4591.83</v>
      </c>
      <c r="M70" t="str">
        <f t="shared" si="2"/>
        <v>Nov</v>
      </c>
      <c r="N70">
        <f t="shared" si="3"/>
        <v>2025</v>
      </c>
    </row>
    <row r="71" spans="1:14" x14ac:dyDescent="0.3">
      <c r="A71" t="s">
        <v>197</v>
      </c>
      <c r="B71" s="5">
        <v>45993</v>
      </c>
      <c r="C71" t="s">
        <v>14</v>
      </c>
      <c r="D71" t="s">
        <v>23</v>
      </c>
      <c r="E71" t="s">
        <v>82</v>
      </c>
      <c r="F71" t="s">
        <v>25</v>
      </c>
      <c r="G71" t="s">
        <v>40</v>
      </c>
      <c r="H71" t="s">
        <v>41</v>
      </c>
      <c r="I71">
        <v>76175</v>
      </c>
      <c r="J71">
        <v>9</v>
      </c>
      <c r="K71" t="s">
        <v>28</v>
      </c>
      <c r="L71">
        <v>5481.37</v>
      </c>
      <c r="M71" t="str">
        <f t="shared" si="2"/>
        <v>Dec</v>
      </c>
      <c r="N71">
        <f t="shared" si="3"/>
        <v>2025</v>
      </c>
    </row>
    <row r="72" spans="1:14" x14ac:dyDescent="0.3">
      <c r="A72" t="s">
        <v>199</v>
      </c>
      <c r="B72" s="5">
        <v>45962</v>
      </c>
      <c r="C72" t="s">
        <v>91</v>
      </c>
      <c r="D72" t="s">
        <v>23</v>
      </c>
      <c r="E72" t="s">
        <v>24</v>
      </c>
      <c r="F72" t="s">
        <v>17</v>
      </c>
      <c r="G72" t="s">
        <v>76</v>
      </c>
      <c r="H72" t="s">
        <v>77</v>
      </c>
      <c r="I72">
        <v>71213</v>
      </c>
      <c r="J72">
        <v>6</v>
      </c>
      <c r="K72" t="s">
        <v>49</v>
      </c>
      <c r="L72">
        <v>7358.89</v>
      </c>
      <c r="M72" t="str">
        <f t="shared" si="2"/>
        <v>Nov</v>
      </c>
      <c r="N72">
        <f t="shared" si="3"/>
        <v>2025</v>
      </c>
    </row>
    <row r="73" spans="1:14" x14ac:dyDescent="0.3">
      <c r="A73" t="s">
        <v>201</v>
      </c>
      <c r="B73" s="5">
        <v>45880</v>
      </c>
      <c r="C73" t="s">
        <v>91</v>
      </c>
      <c r="D73" t="s">
        <v>32</v>
      </c>
      <c r="E73" t="s">
        <v>33</v>
      </c>
      <c r="F73" t="s">
        <v>25</v>
      </c>
      <c r="G73" t="s">
        <v>40</v>
      </c>
      <c r="H73" t="s">
        <v>41</v>
      </c>
      <c r="I73">
        <v>40306</v>
      </c>
      <c r="J73">
        <v>7</v>
      </c>
      <c r="K73" t="s">
        <v>28</v>
      </c>
      <c r="L73">
        <v>3906.81</v>
      </c>
      <c r="M73" t="str">
        <f t="shared" si="2"/>
        <v>Aug</v>
      </c>
      <c r="N73">
        <f t="shared" si="3"/>
        <v>2025</v>
      </c>
    </row>
    <row r="74" spans="1:14" x14ac:dyDescent="0.3">
      <c r="A74" t="s">
        <v>203</v>
      </c>
      <c r="B74" s="5">
        <v>45721</v>
      </c>
      <c r="C74" t="s">
        <v>66</v>
      </c>
      <c r="D74" t="s">
        <v>38</v>
      </c>
      <c r="E74" t="s">
        <v>52</v>
      </c>
      <c r="F74" t="s">
        <v>46</v>
      </c>
      <c r="G74" t="s">
        <v>87</v>
      </c>
      <c r="H74" t="s">
        <v>88</v>
      </c>
      <c r="I74">
        <v>16464</v>
      </c>
      <c r="J74">
        <v>2</v>
      </c>
      <c r="K74" t="s">
        <v>53</v>
      </c>
      <c r="L74">
        <v>3552.04</v>
      </c>
      <c r="M74" t="str">
        <f t="shared" si="2"/>
        <v>Mar</v>
      </c>
      <c r="N74">
        <f t="shared" si="3"/>
        <v>2025</v>
      </c>
    </row>
    <row r="75" spans="1:14" x14ac:dyDescent="0.3">
      <c r="A75" t="s">
        <v>205</v>
      </c>
      <c r="B75" s="5">
        <v>46011</v>
      </c>
      <c r="C75" t="s">
        <v>121</v>
      </c>
      <c r="D75" t="s">
        <v>23</v>
      </c>
      <c r="E75" t="s">
        <v>82</v>
      </c>
      <c r="F75" t="s">
        <v>17</v>
      </c>
      <c r="G75" t="s">
        <v>18</v>
      </c>
      <c r="H75" t="s">
        <v>19</v>
      </c>
      <c r="I75">
        <v>58706</v>
      </c>
      <c r="J75">
        <v>10</v>
      </c>
      <c r="K75" t="s">
        <v>53</v>
      </c>
      <c r="L75">
        <v>14691.49</v>
      </c>
      <c r="M75" t="str">
        <f t="shared" si="2"/>
        <v>Dec</v>
      </c>
      <c r="N75">
        <f t="shared" si="3"/>
        <v>2025</v>
      </c>
    </row>
    <row r="76" spans="1:14" x14ac:dyDescent="0.3">
      <c r="A76" t="s">
        <v>207</v>
      </c>
      <c r="B76" s="5">
        <v>45911</v>
      </c>
      <c r="C76" t="s">
        <v>66</v>
      </c>
      <c r="D76" t="s">
        <v>23</v>
      </c>
      <c r="E76" t="s">
        <v>129</v>
      </c>
      <c r="F76" t="s">
        <v>25</v>
      </c>
      <c r="G76" t="s">
        <v>57</v>
      </c>
      <c r="H76" t="s">
        <v>58</v>
      </c>
      <c r="I76">
        <v>17196</v>
      </c>
      <c r="J76">
        <v>1</v>
      </c>
      <c r="K76" t="s">
        <v>34</v>
      </c>
      <c r="L76">
        <v>3392.57</v>
      </c>
      <c r="M76" t="str">
        <f t="shared" si="2"/>
        <v>Sep</v>
      </c>
      <c r="N76">
        <f t="shared" si="3"/>
        <v>2025</v>
      </c>
    </row>
    <row r="77" spans="1:14" x14ac:dyDescent="0.3">
      <c r="A77" t="s">
        <v>209</v>
      </c>
      <c r="B77" s="5">
        <v>45777</v>
      </c>
      <c r="C77" t="s">
        <v>121</v>
      </c>
      <c r="D77" t="s">
        <v>38</v>
      </c>
      <c r="E77" t="s">
        <v>39</v>
      </c>
      <c r="F77" t="s">
        <v>25</v>
      </c>
      <c r="G77" t="s">
        <v>26</v>
      </c>
      <c r="H77" t="s">
        <v>27</v>
      </c>
      <c r="I77">
        <v>13542</v>
      </c>
      <c r="J77">
        <v>8</v>
      </c>
      <c r="K77" t="s">
        <v>20</v>
      </c>
      <c r="L77">
        <v>2657.25</v>
      </c>
      <c r="M77" t="str">
        <f t="shared" si="2"/>
        <v>Apr</v>
      </c>
      <c r="N77">
        <f t="shared" si="3"/>
        <v>2025</v>
      </c>
    </row>
    <row r="78" spans="1:14" x14ac:dyDescent="0.3">
      <c r="A78" t="s">
        <v>211</v>
      </c>
      <c r="B78" s="5">
        <v>45789</v>
      </c>
      <c r="C78" t="s">
        <v>121</v>
      </c>
      <c r="D78" t="s">
        <v>32</v>
      </c>
      <c r="E78" t="s">
        <v>45</v>
      </c>
      <c r="F78" t="s">
        <v>46</v>
      </c>
      <c r="G78" t="s">
        <v>94</v>
      </c>
      <c r="H78" t="s">
        <v>95</v>
      </c>
      <c r="I78">
        <v>11235</v>
      </c>
      <c r="J78">
        <v>3</v>
      </c>
      <c r="K78" t="s">
        <v>20</v>
      </c>
      <c r="L78">
        <v>1316.84</v>
      </c>
      <c r="M78" t="str">
        <f t="shared" si="2"/>
        <v>May</v>
      </c>
      <c r="N78">
        <f t="shared" si="3"/>
        <v>2025</v>
      </c>
    </row>
    <row r="79" spans="1:14" x14ac:dyDescent="0.3">
      <c r="A79" t="s">
        <v>213</v>
      </c>
      <c r="B79" s="5">
        <v>45912</v>
      </c>
      <c r="C79" t="s">
        <v>37</v>
      </c>
      <c r="D79" t="s">
        <v>32</v>
      </c>
      <c r="E79" t="s">
        <v>45</v>
      </c>
      <c r="F79" t="s">
        <v>46</v>
      </c>
      <c r="G79" t="s">
        <v>94</v>
      </c>
      <c r="H79" t="s">
        <v>95</v>
      </c>
      <c r="I79">
        <v>23494</v>
      </c>
      <c r="J79">
        <v>7</v>
      </c>
      <c r="K79" t="s">
        <v>34</v>
      </c>
      <c r="L79">
        <v>5556.84</v>
      </c>
      <c r="M79" t="str">
        <f t="shared" si="2"/>
        <v>Sep</v>
      </c>
      <c r="N79">
        <f t="shared" si="3"/>
        <v>2025</v>
      </c>
    </row>
    <row r="80" spans="1:14" x14ac:dyDescent="0.3">
      <c r="A80" t="s">
        <v>214</v>
      </c>
      <c r="B80" s="5">
        <v>46022</v>
      </c>
      <c r="C80" t="s">
        <v>56</v>
      </c>
      <c r="D80" t="s">
        <v>38</v>
      </c>
      <c r="E80" t="s">
        <v>67</v>
      </c>
      <c r="F80" t="s">
        <v>17</v>
      </c>
      <c r="G80" t="s">
        <v>76</v>
      </c>
      <c r="H80" t="s">
        <v>77</v>
      </c>
      <c r="I80">
        <v>34674</v>
      </c>
      <c r="J80">
        <v>1</v>
      </c>
      <c r="K80" t="s">
        <v>49</v>
      </c>
      <c r="L80">
        <v>3330.19</v>
      </c>
      <c r="M80" t="str">
        <f t="shared" si="2"/>
        <v>Dec</v>
      </c>
      <c r="N80">
        <f t="shared" si="3"/>
        <v>2025</v>
      </c>
    </row>
    <row r="81" spans="1:14" x14ac:dyDescent="0.3">
      <c r="A81" t="s">
        <v>216</v>
      </c>
      <c r="B81" s="5">
        <v>45859</v>
      </c>
      <c r="C81" t="s">
        <v>91</v>
      </c>
      <c r="D81" t="s">
        <v>38</v>
      </c>
      <c r="E81" t="s">
        <v>39</v>
      </c>
      <c r="F81" t="s">
        <v>46</v>
      </c>
      <c r="G81" t="s">
        <v>47</v>
      </c>
      <c r="H81" t="s">
        <v>48</v>
      </c>
      <c r="I81">
        <v>9776</v>
      </c>
      <c r="J81">
        <v>5</v>
      </c>
      <c r="K81" t="s">
        <v>34</v>
      </c>
      <c r="L81">
        <v>1683.5</v>
      </c>
      <c r="M81" t="str">
        <f t="shared" si="2"/>
        <v>Jul</v>
      </c>
      <c r="N81">
        <f t="shared" si="3"/>
        <v>2025</v>
      </c>
    </row>
    <row r="82" spans="1:14" x14ac:dyDescent="0.3">
      <c r="A82" t="s">
        <v>217</v>
      </c>
      <c r="B82" s="5">
        <v>45900</v>
      </c>
      <c r="C82" t="s">
        <v>44</v>
      </c>
      <c r="D82" t="s">
        <v>23</v>
      </c>
      <c r="E82" t="s">
        <v>24</v>
      </c>
      <c r="F82" t="s">
        <v>17</v>
      </c>
      <c r="G82" t="s">
        <v>18</v>
      </c>
      <c r="H82" t="s">
        <v>19</v>
      </c>
      <c r="I82">
        <v>68479</v>
      </c>
      <c r="J82">
        <v>2</v>
      </c>
      <c r="K82" t="s">
        <v>34</v>
      </c>
      <c r="L82">
        <v>6082.39</v>
      </c>
      <c r="M82" t="str">
        <f t="shared" si="2"/>
        <v>Aug</v>
      </c>
      <c r="N82">
        <f t="shared" si="3"/>
        <v>2025</v>
      </c>
    </row>
    <row r="83" spans="1:14" x14ac:dyDescent="0.3">
      <c r="A83" t="s">
        <v>219</v>
      </c>
      <c r="B83" s="5">
        <v>46006</v>
      </c>
      <c r="C83" t="s">
        <v>44</v>
      </c>
      <c r="D83" t="s">
        <v>15</v>
      </c>
      <c r="E83" t="s">
        <v>154</v>
      </c>
      <c r="F83" t="s">
        <v>46</v>
      </c>
      <c r="G83" t="s">
        <v>94</v>
      </c>
      <c r="H83" t="s">
        <v>95</v>
      </c>
      <c r="I83">
        <v>14913</v>
      </c>
      <c r="J83">
        <v>10</v>
      </c>
      <c r="K83" t="s">
        <v>20</v>
      </c>
      <c r="L83">
        <v>1205.57</v>
      </c>
      <c r="M83" t="str">
        <f t="shared" si="2"/>
        <v>Dec</v>
      </c>
      <c r="N83">
        <f t="shared" si="3"/>
        <v>2025</v>
      </c>
    </row>
    <row r="84" spans="1:14" x14ac:dyDescent="0.3">
      <c r="A84" t="s">
        <v>221</v>
      </c>
      <c r="B84" s="5">
        <v>45685</v>
      </c>
      <c r="C84" t="s">
        <v>31</v>
      </c>
      <c r="D84" t="s">
        <v>32</v>
      </c>
      <c r="E84" t="s">
        <v>116</v>
      </c>
      <c r="F84" t="s">
        <v>17</v>
      </c>
      <c r="G84" t="s">
        <v>104</v>
      </c>
      <c r="H84" t="s">
        <v>105</v>
      </c>
      <c r="I84">
        <v>51482</v>
      </c>
      <c r="J84">
        <v>3</v>
      </c>
      <c r="K84" t="s">
        <v>20</v>
      </c>
      <c r="L84">
        <v>11747.54</v>
      </c>
      <c r="M84" t="str">
        <f t="shared" si="2"/>
        <v>Jan</v>
      </c>
      <c r="N84">
        <f t="shared" si="3"/>
        <v>2025</v>
      </c>
    </row>
    <row r="85" spans="1:14" x14ac:dyDescent="0.3">
      <c r="A85" t="s">
        <v>223</v>
      </c>
      <c r="B85" s="5">
        <v>45718</v>
      </c>
      <c r="C85" t="s">
        <v>31</v>
      </c>
      <c r="D85" t="s">
        <v>38</v>
      </c>
      <c r="E85" t="s">
        <v>52</v>
      </c>
      <c r="F85" t="s">
        <v>17</v>
      </c>
      <c r="G85" t="s">
        <v>18</v>
      </c>
      <c r="H85" t="s">
        <v>19</v>
      </c>
      <c r="I85">
        <v>1263</v>
      </c>
      <c r="J85">
        <v>9</v>
      </c>
      <c r="K85" t="s">
        <v>28</v>
      </c>
      <c r="L85">
        <v>182.92</v>
      </c>
      <c r="M85" t="str">
        <f t="shared" si="2"/>
        <v>Mar</v>
      </c>
      <c r="N85">
        <f t="shared" si="3"/>
        <v>2025</v>
      </c>
    </row>
    <row r="86" spans="1:14" x14ac:dyDescent="0.3">
      <c r="A86" t="s">
        <v>225</v>
      </c>
      <c r="B86" s="5">
        <v>46021</v>
      </c>
      <c r="C86" t="s">
        <v>91</v>
      </c>
      <c r="D86" t="s">
        <v>32</v>
      </c>
      <c r="E86" t="s">
        <v>45</v>
      </c>
      <c r="F86" t="s">
        <v>25</v>
      </c>
      <c r="G86" t="s">
        <v>26</v>
      </c>
      <c r="H86" t="s">
        <v>27</v>
      </c>
      <c r="I86">
        <v>53347</v>
      </c>
      <c r="J86">
        <v>10</v>
      </c>
      <c r="K86" t="s">
        <v>49</v>
      </c>
      <c r="L86">
        <v>11305.36</v>
      </c>
      <c r="M86" t="str">
        <f t="shared" si="2"/>
        <v>Dec</v>
      </c>
      <c r="N86">
        <f t="shared" si="3"/>
        <v>2025</v>
      </c>
    </row>
    <row r="87" spans="1:14" x14ac:dyDescent="0.3">
      <c r="A87" t="s">
        <v>227</v>
      </c>
      <c r="B87" s="5">
        <v>45836</v>
      </c>
      <c r="C87" t="s">
        <v>121</v>
      </c>
      <c r="D87" t="s">
        <v>38</v>
      </c>
      <c r="E87" t="s">
        <v>39</v>
      </c>
      <c r="F87" t="s">
        <v>46</v>
      </c>
      <c r="G87" t="s">
        <v>87</v>
      </c>
      <c r="H87" t="s">
        <v>88</v>
      </c>
      <c r="I87">
        <v>39840</v>
      </c>
      <c r="J87">
        <v>6</v>
      </c>
      <c r="K87" t="s">
        <v>34</v>
      </c>
      <c r="L87">
        <v>9809.8799999999992</v>
      </c>
      <c r="M87" t="str">
        <f t="shared" si="2"/>
        <v>Jun</v>
      </c>
      <c r="N87">
        <f t="shared" si="3"/>
        <v>2025</v>
      </c>
    </row>
    <row r="88" spans="1:14" x14ac:dyDescent="0.3">
      <c r="A88" t="s">
        <v>228</v>
      </c>
      <c r="B88" s="5">
        <v>45854</v>
      </c>
      <c r="C88" t="s">
        <v>63</v>
      </c>
      <c r="D88" t="s">
        <v>38</v>
      </c>
      <c r="E88" t="s">
        <v>39</v>
      </c>
      <c r="F88" t="s">
        <v>46</v>
      </c>
      <c r="G88" t="s">
        <v>87</v>
      </c>
      <c r="H88" t="s">
        <v>88</v>
      </c>
      <c r="I88">
        <v>44865</v>
      </c>
      <c r="J88">
        <v>2</v>
      </c>
      <c r="K88" t="s">
        <v>53</v>
      </c>
      <c r="L88">
        <v>8853.4699999999993</v>
      </c>
      <c r="M88" t="str">
        <f t="shared" si="2"/>
        <v>Jul</v>
      </c>
      <c r="N88">
        <f t="shared" si="3"/>
        <v>2025</v>
      </c>
    </row>
    <row r="89" spans="1:14" x14ac:dyDescent="0.3">
      <c r="A89" t="s">
        <v>229</v>
      </c>
      <c r="B89" s="5">
        <v>45978</v>
      </c>
      <c r="C89" t="s">
        <v>72</v>
      </c>
      <c r="D89" t="s">
        <v>32</v>
      </c>
      <c r="E89" t="s">
        <v>45</v>
      </c>
      <c r="F89" t="s">
        <v>17</v>
      </c>
      <c r="G89" t="s">
        <v>18</v>
      </c>
      <c r="H89" t="s">
        <v>19</v>
      </c>
      <c r="I89">
        <v>23832</v>
      </c>
      <c r="J89">
        <v>4</v>
      </c>
      <c r="K89" t="s">
        <v>49</v>
      </c>
      <c r="L89">
        <v>3766.43</v>
      </c>
      <c r="M89" t="str">
        <f t="shared" si="2"/>
        <v>Nov</v>
      </c>
      <c r="N89">
        <f t="shared" si="3"/>
        <v>2025</v>
      </c>
    </row>
    <row r="90" spans="1:14" x14ac:dyDescent="0.3">
      <c r="A90" t="s">
        <v>231</v>
      </c>
      <c r="B90" s="5">
        <v>45874</v>
      </c>
      <c r="C90" t="s">
        <v>14</v>
      </c>
      <c r="D90" t="s">
        <v>32</v>
      </c>
      <c r="E90" t="s">
        <v>33</v>
      </c>
      <c r="F90" t="s">
        <v>46</v>
      </c>
      <c r="G90" t="s">
        <v>94</v>
      </c>
      <c r="H90" t="s">
        <v>95</v>
      </c>
      <c r="I90">
        <v>30264</v>
      </c>
      <c r="J90">
        <v>9</v>
      </c>
      <c r="K90" t="s">
        <v>49</v>
      </c>
      <c r="L90">
        <v>3821.4</v>
      </c>
      <c r="M90" t="str">
        <f t="shared" si="2"/>
        <v>Aug</v>
      </c>
      <c r="N90">
        <f t="shared" si="3"/>
        <v>2025</v>
      </c>
    </row>
    <row r="91" spans="1:14" x14ac:dyDescent="0.3">
      <c r="A91" t="s">
        <v>233</v>
      </c>
      <c r="B91" s="5">
        <v>45872</v>
      </c>
      <c r="C91" t="s">
        <v>66</v>
      </c>
      <c r="D91" t="s">
        <v>23</v>
      </c>
      <c r="E91" t="s">
        <v>24</v>
      </c>
      <c r="F91" t="s">
        <v>46</v>
      </c>
      <c r="G91" t="s">
        <v>47</v>
      </c>
      <c r="H91" t="s">
        <v>48</v>
      </c>
      <c r="I91">
        <v>12024</v>
      </c>
      <c r="J91">
        <v>9</v>
      </c>
      <c r="K91" t="s">
        <v>20</v>
      </c>
      <c r="L91">
        <v>1351.98</v>
      </c>
      <c r="M91" t="str">
        <f t="shared" si="2"/>
        <v>Aug</v>
      </c>
      <c r="N91">
        <f t="shared" si="3"/>
        <v>2025</v>
      </c>
    </row>
    <row r="92" spans="1:14" x14ac:dyDescent="0.3">
      <c r="A92" t="s">
        <v>235</v>
      </c>
      <c r="B92" s="5">
        <v>45909</v>
      </c>
      <c r="C92" t="s">
        <v>72</v>
      </c>
      <c r="D92" t="s">
        <v>15</v>
      </c>
      <c r="E92" t="s">
        <v>154</v>
      </c>
      <c r="F92" t="s">
        <v>25</v>
      </c>
      <c r="G92" t="s">
        <v>26</v>
      </c>
      <c r="H92" t="s">
        <v>27</v>
      </c>
      <c r="I92">
        <v>30709</v>
      </c>
      <c r="J92">
        <v>5</v>
      </c>
      <c r="K92" t="s">
        <v>20</v>
      </c>
      <c r="L92">
        <v>8073.89</v>
      </c>
      <c r="M92" t="str">
        <f t="shared" si="2"/>
        <v>Sep</v>
      </c>
      <c r="N92">
        <f t="shared" si="3"/>
        <v>2025</v>
      </c>
    </row>
    <row r="93" spans="1:14" x14ac:dyDescent="0.3">
      <c r="A93" t="s">
        <v>237</v>
      </c>
      <c r="B93" s="5">
        <v>45938</v>
      </c>
      <c r="C93" t="s">
        <v>14</v>
      </c>
      <c r="D93" t="s">
        <v>38</v>
      </c>
      <c r="E93" t="s">
        <v>67</v>
      </c>
      <c r="F93" t="s">
        <v>25</v>
      </c>
      <c r="G93" t="s">
        <v>26</v>
      </c>
      <c r="H93" t="s">
        <v>27</v>
      </c>
      <c r="I93">
        <v>23798</v>
      </c>
      <c r="J93">
        <v>9</v>
      </c>
      <c r="K93" t="s">
        <v>34</v>
      </c>
      <c r="L93">
        <v>4538.2700000000004</v>
      </c>
      <c r="M93" t="str">
        <f t="shared" si="2"/>
        <v>Oct</v>
      </c>
      <c r="N93">
        <f t="shared" si="3"/>
        <v>2025</v>
      </c>
    </row>
    <row r="94" spans="1:14" x14ac:dyDescent="0.3">
      <c r="A94" t="s">
        <v>239</v>
      </c>
      <c r="B94" s="5">
        <v>45875</v>
      </c>
      <c r="C94" t="s">
        <v>56</v>
      </c>
      <c r="D94" t="s">
        <v>15</v>
      </c>
      <c r="E94" t="s">
        <v>73</v>
      </c>
      <c r="F94" t="s">
        <v>17</v>
      </c>
      <c r="G94" t="s">
        <v>18</v>
      </c>
      <c r="H94" t="s">
        <v>19</v>
      </c>
      <c r="I94">
        <v>38600</v>
      </c>
      <c r="J94">
        <v>8</v>
      </c>
      <c r="K94" t="s">
        <v>20</v>
      </c>
      <c r="L94">
        <v>3961.4</v>
      </c>
      <c r="M94" t="str">
        <f t="shared" si="2"/>
        <v>Aug</v>
      </c>
      <c r="N94">
        <f t="shared" si="3"/>
        <v>2025</v>
      </c>
    </row>
    <row r="95" spans="1:14" x14ac:dyDescent="0.3">
      <c r="A95" t="s">
        <v>241</v>
      </c>
      <c r="B95" s="5">
        <v>45938</v>
      </c>
      <c r="C95" t="s">
        <v>121</v>
      </c>
      <c r="D95" t="s">
        <v>38</v>
      </c>
      <c r="E95" t="s">
        <v>52</v>
      </c>
      <c r="F95" t="s">
        <v>17</v>
      </c>
      <c r="G95" t="s">
        <v>104</v>
      </c>
      <c r="H95" t="s">
        <v>105</v>
      </c>
      <c r="I95">
        <v>53903</v>
      </c>
      <c r="J95">
        <v>5</v>
      </c>
      <c r="K95" t="s">
        <v>28</v>
      </c>
      <c r="L95">
        <v>14206.99</v>
      </c>
      <c r="M95" t="str">
        <f t="shared" si="2"/>
        <v>Oct</v>
      </c>
      <c r="N95">
        <f t="shared" si="3"/>
        <v>2025</v>
      </c>
    </row>
    <row r="96" spans="1:14" x14ac:dyDescent="0.3">
      <c r="A96" t="s">
        <v>242</v>
      </c>
      <c r="B96" s="5">
        <v>45740</v>
      </c>
      <c r="C96" t="s">
        <v>37</v>
      </c>
      <c r="D96" t="s">
        <v>32</v>
      </c>
      <c r="E96" t="s">
        <v>45</v>
      </c>
      <c r="F96" t="s">
        <v>25</v>
      </c>
      <c r="G96" t="s">
        <v>57</v>
      </c>
      <c r="H96" t="s">
        <v>58</v>
      </c>
      <c r="I96">
        <v>13482</v>
      </c>
      <c r="J96">
        <v>10</v>
      </c>
      <c r="K96" t="s">
        <v>20</v>
      </c>
      <c r="L96">
        <v>2677.75</v>
      </c>
      <c r="M96" t="str">
        <f t="shared" si="2"/>
        <v>Mar</v>
      </c>
      <c r="N96">
        <f t="shared" si="3"/>
        <v>2025</v>
      </c>
    </row>
    <row r="97" spans="1:14" x14ac:dyDescent="0.3">
      <c r="A97" t="s">
        <v>244</v>
      </c>
      <c r="B97" s="5">
        <v>45774</v>
      </c>
      <c r="C97" t="s">
        <v>31</v>
      </c>
      <c r="D97" t="s">
        <v>15</v>
      </c>
      <c r="E97" t="s">
        <v>73</v>
      </c>
      <c r="F97" t="s">
        <v>46</v>
      </c>
      <c r="G97" t="s">
        <v>87</v>
      </c>
      <c r="H97" t="s">
        <v>88</v>
      </c>
      <c r="I97">
        <v>46802</v>
      </c>
      <c r="J97">
        <v>2</v>
      </c>
      <c r="K97" t="s">
        <v>34</v>
      </c>
      <c r="L97">
        <v>6404.64</v>
      </c>
      <c r="M97" t="str">
        <f t="shared" si="2"/>
        <v>Apr</v>
      </c>
      <c r="N97">
        <f t="shared" si="3"/>
        <v>2025</v>
      </c>
    </row>
    <row r="98" spans="1:14" x14ac:dyDescent="0.3">
      <c r="A98" t="s">
        <v>246</v>
      </c>
      <c r="B98" s="5">
        <v>45882</v>
      </c>
      <c r="C98" t="s">
        <v>121</v>
      </c>
      <c r="D98" t="s">
        <v>23</v>
      </c>
      <c r="E98" t="s">
        <v>129</v>
      </c>
      <c r="F98" t="s">
        <v>25</v>
      </c>
      <c r="G98" t="s">
        <v>57</v>
      </c>
      <c r="H98" t="s">
        <v>58</v>
      </c>
      <c r="I98">
        <v>33921</v>
      </c>
      <c r="J98">
        <v>6</v>
      </c>
      <c r="K98" t="s">
        <v>49</v>
      </c>
      <c r="L98">
        <v>8630.1299999999992</v>
      </c>
      <c r="M98" t="str">
        <f t="shared" si="2"/>
        <v>Aug</v>
      </c>
      <c r="N98">
        <f t="shared" si="3"/>
        <v>2025</v>
      </c>
    </row>
    <row r="99" spans="1:14" x14ac:dyDescent="0.3">
      <c r="A99" t="s">
        <v>248</v>
      </c>
      <c r="B99" s="5">
        <v>45783</v>
      </c>
      <c r="C99" t="s">
        <v>44</v>
      </c>
      <c r="D99" t="s">
        <v>15</v>
      </c>
      <c r="E99" t="s">
        <v>16</v>
      </c>
      <c r="F99" t="s">
        <v>25</v>
      </c>
      <c r="G99" t="s">
        <v>26</v>
      </c>
      <c r="H99" t="s">
        <v>27</v>
      </c>
      <c r="I99">
        <v>60228</v>
      </c>
      <c r="J99">
        <v>5</v>
      </c>
      <c r="K99" t="s">
        <v>34</v>
      </c>
      <c r="L99">
        <v>6968.05</v>
      </c>
      <c r="M99" t="str">
        <f t="shared" si="2"/>
        <v>May</v>
      </c>
      <c r="N99">
        <f t="shared" si="3"/>
        <v>2025</v>
      </c>
    </row>
    <row r="100" spans="1:14" x14ac:dyDescent="0.3">
      <c r="A100" t="s">
        <v>250</v>
      </c>
      <c r="B100" s="5">
        <v>45658</v>
      </c>
      <c r="C100" t="s">
        <v>66</v>
      </c>
      <c r="D100" t="s">
        <v>32</v>
      </c>
      <c r="E100" t="s">
        <v>45</v>
      </c>
      <c r="F100" t="s">
        <v>46</v>
      </c>
      <c r="G100" t="s">
        <v>87</v>
      </c>
      <c r="H100" t="s">
        <v>88</v>
      </c>
      <c r="I100">
        <v>35876</v>
      </c>
      <c r="J100">
        <v>8</v>
      </c>
      <c r="K100" t="s">
        <v>20</v>
      </c>
      <c r="L100">
        <v>6472.51</v>
      </c>
      <c r="M100" t="str">
        <f t="shared" si="2"/>
        <v>Jan</v>
      </c>
      <c r="N100">
        <f t="shared" si="3"/>
        <v>2025</v>
      </c>
    </row>
    <row r="101" spans="1:14" x14ac:dyDescent="0.3">
      <c r="A101" t="s">
        <v>252</v>
      </c>
      <c r="B101" s="5">
        <v>45882</v>
      </c>
      <c r="C101" t="s">
        <v>14</v>
      </c>
      <c r="D101" t="s">
        <v>23</v>
      </c>
      <c r="E101" t="s">
        <v>129</v>
      </c>
      <c r="F101" t="s">
        <v>46</v>
      </c>
      <c r="G101" t="s">
        <v>94</v>
      </c>
      <c r="H101" t="s">
        <v>95</v>
      </c>
      <c r="I101">
        <v>58980</v>
      </c>
      <c r="J101">
        <v>8</v>
      </c>
      <c r="K101" t="s">
        <v>53</v>
      </c>
      <c r="L101">
        <v>4368.7700000000004</v>
      </c>
      <c r="M101" t="str">
        <f t="shared" si="2"/>
        <v>Aug</v>
      </c>
      <c r="N101">
        <f t="shared" si="3"/>
        <v>2025</v>
      </c>
    </row>
    <row r="102" spans="1:14" x14ac:dyDescent="0.3">
      <c r="A102" t="s">
        <v>253</v>
      </c>
      <c r="B102" s="5">
        <v>45724</v>
      </c>
      <c r="C102" t="s">
        <v>31</v>
      </c>
      <c r="D102" t="s">
        <v>15</v>
      </c>
      <c r="E102" t="s">
        <v>154</v>
      </c>
      <c r="F102" t="s">
        <v>25</v>
      </c>
      <c r="G102" t="s">
        <v>40</v>
      </c>
      <c r="H102" t="s">
        <v>41</v>
      </c>
      <c r="I102">
        <v>5479</v>
      </c>
      <c r="J102">
        <v>10</v>
      </c>
      <c r="K102" t="s">
        <v>20</v>
      </c>
      <c r="L102">
        <v>659.82</v>
      </c>
      <c r="M102" t="str">
        <f t="shared" si="2"/>
        <v>Mar</v>
      </c>
      <c r="N102">
        <f t="shared" si="3"/>
        <v>2025</v>
      </c>
    </row>
    <row r="103" spans="1:14" x14ac:dyDescent="0.3">
      <c r="A103" t="s">
        <v>254</v>
      </c>
      <c r="B103" s="5">
        <v>45845</v>
      </c>
      <c r="C103" t="s">
        <v>44</v>
      </c>
      <c r="D103" t="s">
        <v>23</v>
      </c>
      <c r="E103" t="s">
        <v>24</v>
      </c>
      <c r="F103" t="s">
        <v>17</v>
      </c>
      <c r="G103" t="s">
        <v>76</v>
      </c>
      <c r="H103" t="s">
        <v>77</v>
      </c>
      <c r="I103">
        <v>35586</v>
      </c>
      <c r="J103">
        <v>3</v>
      </c>
      <c r="K103" t="s">
        <v>28</v>
      </c>
      <c r="L103">
        <v>5715.75</v>
      </c>
      <c r="M103" t="str">
        <f t="shared" si="2"/>
        <v>Jul</v>
      </c>
      <c r="N103">
        <f t="shared" si="3"/>
        <v>2025</v>
      </c>
    </row>
    <row r="104" spans="1:14" x14ac:dyDescent="0.3">
      <c r="A104" t="s">
        <v>256</v>
      </c>
      <c r="B104" s="5">
        <v>45816</v>
      </c>
      <c r="C104" t="s">
        <v>31</v>
      </c>
      <c r="D104" t="s">
        <v>23</v>
      </c>
      <c r="E104" t="s">
        <v>24</v>
      </c>
      <c r="F104" t="s">
        <v>46</v>
      </c>
      <c r="G104" t="s">
        <v>94</v>
      </c>
      <c r="H104" t="s">
        <v>95</v>
      </c>
      <c r="I104">
        <v>23970</v>
      </c>
      <c r="J104">
        <v>7</v>
      </c>
      <c r="K104" t="s">
        <v>49</v>
      </c>
      <c r="L104">
        <v>3124.94</v>
      </c>
      <c r="M104" t="str">
        <f t="shared" si="2"/>
        <v>Jun</v>
      </c>
      <c r="N104">
        <f t="shared" si="3"/>
        <v>2025</v>
      </c>
    </row>
    <row r="105" spans="1:14" x14ac:dyDescent="0.3">
      <c r="A105" t="s">
        <v>258</v>
      </c>
      <c r="B105" s="5">
        <v>45978</v>
      </c>
      <c r="C105" t="s">
        <v>37</v>
      </c>
      <c r="D105" t="s">
        <v>38</v>
      </c>
      <c r="E105" t="s">
        <v>67</v>
      </c>
      <c r="F105" t="s">
        <v>25</v>
      </c>
      <c r="G105" t="s">
        <v>57</v>
      </c>
      <c r="H105" t="s">
        <v>58</v>
      </c>
      <c r="I105">
        <v>65002</v>
      </c>
      <c r="J105">
        <v>8</v>
      </c>
      <c r="K105" t="s">
        <v>53</v>
      </c>
      <c r="L105">
        <v>12875.06</v>
      </c>
      <c r="M105" t="str">
        <f t="shared" si="2"/>
        <v>Nov</v>
      </c>
      <c r="N105">
        <f t="shared" si="3"/>
        <v>2025</v>
      </c>
    </row>
    <row r="106" spans="1:14" x14ac:dyDescent="0.3">
      <c r="A106" t="s">
        <v>259</v>
      </c>
      <c r="B106" s="5">
        <v>45984</v>
      </c>
      <c r="C106" t="s">
        <v>121</v>
      </c>
      <c r="D106" t="s">
        <v>23</v>
      </c>
      <c r="E106" t="s">
        <v>129</v>
      </c>
      <c r="F106" t="s">
        <v>25</v>
      </c>
      <c r="G106" t="s">
        <v>40</v>
      </c>
      <c r="H106" t="s">
        <v>41</v>
      </c>
      <c r="I106">
        <v>70806</v>
      </c>
      <c r="J106">
        <v>9</v>
      </c>
      <c r="K106" t="s">
        <v>20</v>
      </c>
      <c r="L106">
        <v>14467.09</v>
      </c>
      <c r="M106" t="str">
        <f t="shared" si="2"/>
        <v>Nov</v>
      </c>
      <c r="N106">
        <f t="shared" si="3"/>
        <v>2025</v>
      </c>
    </row>
    <row r="107" spans="1:14" x14ac:dyDescent="0.3">
      <c r="A107" t="s">
        <v>261</v>
      </c>
      <c r="B107" s="5">
        <v>45835</v>
      </c>
      <c r="C107" t="s">
        <v>37</v>
      </c>
      <c r="D107" t="s">
        <v>32</v>
      </c>
      <c r="E107" t="s">
        <v>33</v>
      </c>
      <c r="F107" t="s">
        <v>25</v>
      </c>
      <c r="G107" t="s">
        <v>26</v>
      </c>
      <c r="H107" t="s">
        <v>27</v>
      </c>
      <c r="I107">
        <v>58467</v>
      </c>
      <c r="J107">
        <v>1</v>
      </c>
      <c r="K107" t="s">
        <v>28</v>
      </c>
      <c r="L107">
        <v>7854.3</v>
      </c>
      <c r="M107" t="str">
        <f t="shared" si="2"/>
        <v>Jun</v>
      </c>
      <c r="N107">
        <f t="shared" si="3"/>
        <v>2025</v>
      </c>
    </row>
    <row r="108" spans="1:14" x14ac:dyDescent="0.3">
      <c r="A108" t="s">
        <v>263</v>
      </c>
      <c r="B108" s="5">
        <v>45989</v>
      </c>
      <c r="C108" t="s">
        <v>44</v>
      </c>
      <c r="D108" t="s">
        <v>23</v>
      </c>
      <c r="E108" t="s">
        <v>129</v>
      </c>
      <c r="F108" t="s">
        <v>17</v>
      </c>
      <c r="G108" t="s">
        <v>76</v>
      </c>
      <c r="H108" t="s">
        <v>77</v>
      </c>
      <c r="I108">
        <v>58216</v>
      </c>
      <c r="J108">
        <v>1</v>
      </c>
      <c r="K108" t="s">
        <v>20</v>
      </c>
      <c r="L108">
        <v>10982.59</v>
      </c>
      <c r="M108" t="str">
        <f t="shared" si="2"/>
        <v>Nov</v>
      </c>
      <c r="N108">
        <f t="shared" si="3"/>
        <v>2025</v>
      </c>
    </row>
    <row r="109" spans="1:14" x14ac:dyDescent="0.3">
      <c r="A109" t="s">
        <v>265</v>
      </c>
      <c r="B109" s="5">
        <v>45957</v>
      </c>
      <c r="C109" t="s">
        <v>91</v>
      </c>
      <c r="D109" t="s">
        <v>23</v>
      </c>
      <c r="E109" t="s">
        <v>82</v>
      </c>
      <c r="F109" t="s">
        <v>25</v>
      </c>
      <c r="G109" t="s">
        <v>26</v>
      </c>
      <c r="H109" t="s">
        <v>27</v>
      </c>
      <c r="I109">
        <v>67408</v>
      </c>
      <c r="J109">
        <v>4</v>
      </c>
      <c r="K109" t="s">
        <v>20</v>
      </c>
      <c r="L109">
        <v>16821.87</v>
      </c>
      <c r="M109" t="str">
        <f t="shared" si="2"/>
        <v>Oct</v>
      </c>
      <c r="N109">
        <f t="shared" si="3"/>
        <v>2025</v>
      </c>
    </row>
    <row r="110" spans="1:14" x14ac:dyDescent="0.3">
      <c r="A110" t="s">
        <v>267</v>
      </c>
      <c r="B110" s="5">
        <v>45856</v>
      </c>
      <c r="C110" t="s">
        <v>44</v>
      </c>
      <c r="D110" t="s">
        <v>32</v>
      </c>
      <c r="E110" t="s">
        <v>45</v>
      </c>
      <c r="F110" t="s">
        <v>46</v>
      </c>
      <c r="G110" t="s">
        <v>94</v>
      </c>
      <c r="H110" t="s">
        <v>95</v>
      </c>
      <c r="I110">
        <v>61000</v>
      </c>
      <c r="J110">
        <v>10</v>
      </c>
      <c r="K110" t="s">
        <v>49</v>
      </c>
      <c r="L110">
        <v>9093.08</v>
      </c>
      <c r="M110" t="str">
        <f t="shared" si="2"/>
        <v>Jul</v>
      </c>
      <c r="N110">
        <f t="shared" si="3"/>
        <v>2025</v>
      </c>
    </row>
    <row r="111" spans="1:14" x14ac:dyDescent="0.3">
      <c r="A111" t="s">
        <v>269</v>
      </c>
      <c r="B111" s="5">
        <v>45682</v>
      </c>
      <c r="C111" t="s">
        <v>56</v>
      </c>
      <c r="D111" t="s">
        <v>23</v>
      </c>
      <c r="E111" t="s">
        <v>129</v>
      </c>
      <c r="F111" t="s">
        <v>25</v>
      </c>
      <c r="G111" t="s">
        <v>26</v>
      </c>
      <c r="H111" t="s">
        <v>27</v>
      </c>
      <c r="I111">
        <v>48154</v>
      </c>
      <c r="J111">
        <v>8</v>
      </c>
      <c r="K111" t="s">
        <v>28</v>
      </c>
      <c r="L111">
        <v>11568.11</v>
      </c>
      <c r="M111" t="str">
        <f t="shared" si="2"/>
        <v>Jan</v>
      </c>
      <c r="N111">
        <f t="shared" si="3"/>
        <v>2025</v>
      </c>
    </row>
    <row r="112" spans="1:14" x14ac:dyDescent="0.3">
      <c r="A112" t="s">
        <v>270</v>
      </c>
      <c r="B112" s="5">
        <v>45729</v>
      </c>
      <c r="C112" t="s">
        <v>37</v>
      </c>
      <c r="D112" t="s">
        <v>23</v>
      </c>
      <c r="E112" t="s">
        <v>129</v>
      </c>
      <c r="F112" t="s">
        <v>25</v>
      </c>
      <c r="G112" t="s">
        <v>57</v>
      </c>
      <c r="H112" t="s">
        <v>58</v>
      </c>
      <c r="I112">
        <v>43100</v>
      </c>
      <c r="J112">
        <v>1</v>
      </c>
      <c r="K112" t="s">
        <v>34</v>
      </c>
      <c r="L112">
        <v>9048.2900000000009</v>
      </c>
      <c r="M112" t="str">
        <f t="shared" si="2"/>
        <v>Mar</v>
      </c>
      <c r="N112">
        <f t="shared" si="3"/>
        <v>2025</v>
      </c>
    </row>
    <row r="113" spans="1:14" x14ac:dyDescent="0.3">
      <c r="A113" t="s">
        <v>272</v>
      </c>
      <c r="B113" s="5">
        <v>45813</v>
      </c>
      <c r="C113" t="s">
        <v>72</v>
      </c>
      <c r="D113" t="s">
        <v>32</v>
      </c>
      <c r="E113" t="s">
        <v>33</v>
      </c>
      <c r="F113" t="s">
        <v>17</v>
      </c>
      <c r="G113" t="s">
        <v>76</v>
      </c>
      <c r="H113" t="s">
        <v>77</v>
      </c>
      <c r="I113">
        <v>78456</v>
      </c>
      <c r="J113">
        <v>10</v>
      </c>
      <c r="K113" t="s">
        <v>49</v>
      </c>
      <c r="L113">
        <v>9541.18</v>
      </c>
      <c r="M113" t="str">
        <f t="shared" si="2"/>
        <v>Jun</v>
      </c>
      <c r="N113">
        <f t="shared" si="3"/>
        <v>2025</v>
      </c>
    </row>
    <row r="114" spans="1:14" x14ac:dyDescent="0.3">
      <c r="A114" t="s">
        <v>273</v>
      </c>
      <c r="B114" s="5">
        <v>45705</v>
      </c>
      <c r="C114" t="s">
        <v>31</v>
      </c>
      <c r="D114" t="s">
        <v>32</v>
      </c>
      <c r="E114" t="s">
        <v>116</v>
      </c>
      <c r="F114" t="s">
        <v>25</v>
      </c>
      <c r="G114" t="s">
        <v>26</v>
      </c>
      <c r="H114" t="s">
        <v>27</v>
      </c>
      <c r="I114">
        <v>66888</v>
      </c>
      <c r="J114">
        <v>1</v>
      </c>
      <c r="K114" t="s">
        <v>34</v>
      </c>
      <c r="L114">
        <v>11412.13</v>
      </c>
      <c r="M114" t="str">
        <f t="shared" si="2"/>
        <v>Feb</v>
      </c>
      <c r="N114">
        <f t="shared" si="3"/>
        <v>2025</v>
      </c>
    </row>
    <row r="115" spans="1:14" x14ac:dyDescent="0.3">
      <c r="A115" t="s">
        <v>275</v>
      </c>
      <c r="B115" s="5">
        <v>45683</v>
      </c>
      <c r="C115" t="s">
        <v>66</v>
      </c>
      <c r="D115" t="s">
        <v>15</v>
      </c>
      <c r="E115" t="s">
        <v>73</v>
      </c>
      <c r="F115" t="s">
        <v>17</v>
      </c>
      <c r="G115" t="s">
        <v>18</v>
      </c>
      <c r="H115" t="s">
        <v>19</v>
      </c>
      <c r="I115">
        <v>55339</v>
      </c>
      <c r="J115">
        <v>7</v>
      </c>
      <c r="K115" t="s">
        <v>20</v>
      </c>
      <c r="L115">
        <v>13160.69</v>
      </c>
      <c r="M115" t="str">
        <f t="shared" si="2"/>
        <v>Jan</v>
      </c>
      <c r="N115">
        <f t="shared" si="3"/>
        <v>2025</v>
      </c>
    </row>
    <row r="116" spans="1:14" x14ac:dyDescent="0.3">
      <c r="A116" t="s">
        <v>276</v>
      </c>
      <c r="B116" s="5">
        <v>45664</v>
      </c>
      <c r="C116" t="s">
        <v>63</v>
      </c>
      <c r="D116" t="s">
        <v>38</v>
      </c>
      <c r="E116" t="s">
        <v>52</v>
      </c>
      <c r="F116" t="s">
        <v>17</v>
      </c>
      <c r="G116" t="s">
        <v>76</v>
      </c>
      <c r="H116" t="s">
        <v>77</v>
      </c>
      <c r="I116">
        <v>26324</v>
      </c>
      <c r="J116">
        <v>3</v>
      </c>
      <c r="K116" t="s">
        <v>49</v>
      </c>
      <c r="L116">
        <v>6304.47</v>
      </c>
      <c r="M116" t="str">
        <f t="shared" si="2"/>
        <v>Jan</v>
      </c>
      <c r="N116">
        <f t="shared" si="3"/>
        <v>2025</v>
      </c>
    </row>
    <row r="117" spans="1:14" x14ac:dyDescent="0.3">
      <c r="A117" t="s">
        <v>278</v>
      </c>
      <c r="B117" s="5">
        <v>45744</v>
      </c>
      <c r="C117" t="s">
        <v>37</v>
      </c>
      <c r="D117" t="s">
        <v>38</v>
      </c>
      <c r="E117" t="s">
        <v>39</v>
      </c>
      <c r="F117" t="s">
        <v>17</v>
      </c>
      <c r="G117" t="s">
        <v>18</v>
      </c>
      <c r="H117" t="s">
        <v>19</v>
      </c>
      <c r="I117">
        <v>41499</v>
      </c>
      <c r="J117">
        <v>2</v>
      </c>
      <c r="K117" t="s">
        <v>28</v>
      </c>
      <c r="L117">
        <v>6440.06</v>
      </c>
      <c r="M117" t="str">
        <f t="shared" si="2"/>
        <v>Mar</v>
      </c>
      <c r="N117">
        <f t="shared" si="3"/>
        <v>2025</v>
      </c>
    </row>
    <row r="118" spans="1:14" x14ac:dyDescent="0.3">
      <c r="A118" t="s">
        <v>280</v>
      </c>
      <c r="B118" s="5">
        <v>45877</v>
      </c>
      <c r="C118" t="s">
        <v>31</v>
      </c>
      <c r="D118" t="s">
        <v>23</v>
      </c>
      <c r="E118" t="s">
        <v>82</v>
      </c>
      <c r="F118" t="s">
        <v>17</v>
      </c>
      <c r="G118" t="s">
        <v>18</v>
      </c>
      <c r="H118" t="s">
        <v>19</v>
      </c>
      <c r="I118">
        <v>14834</v>
      </c>
      <c r="J118">
        <v>8</v>
      </c>
      <c r="K118" t="s">
        <v>49</v>
      </c>
      <c r="L118">
        <v>2705.17</v>
      </c>
      <c r="M118" t="str">
        <f t="shared" si="2"/>
        <v>Aug</v>
      </c>
      <c r="N118">
        <f t="shared" si="3"/>
        <v>2025</v>
      </c>
    </row>
    <row r="119" spans="1:14" x14ac:dyDescent="0.3">
      <c r="A119" t="s">
        <v>282</v>
      </c>
      <c r="B119" s="5">
        <v>45852</v>
      </c>
      <c r="C119" t="s">
        <v>66</v>
      </c>
      <c r="D119" t="s">
        <v>15</v>
      </c>
      <c r="E119" t="s">
        <v>16</v>
      </c>
      <c r="F119" t="s">
        <v>46</v>
      </c>
      <c r="G119" t="s">
        <v>94</v>
      </c>
      <c r="H119" t="s">
        <v>95</v>
      </c>
      <c r="I119">
        <v>44968</v>
      </c>
      <c r="J119">
        <v>8</v>
      </c>
      <c r="K119" t="s">
        <v>49</v>
      </c>
      <c r="L119">
        <v>5513.77</v>
      </c>
      <c r="M119" t="str">
        <f t="shared" si="2"/>
        <v>Jul</v>
      </c>
      <c r="N119">
        <f t="shared" si="3"/>
        <v>2025</v>
      </c>
    </row>
    <row r="120" spans="1:14" x14ac:dyDescent="0.3">
      <c r="A120" t="s">
        <v>284</v>
      </c>
      <c r="B120" s="5">
        <v>45704</v>
      </c>
      <c r="C120" t="s">
        <v>121</v>
      </c>
      <c r="D120" t="s">
        <v>23</v>
      </c>
      <c r="E120" t="s">
        <v>129</v>
      </c>
      <c r="F120" t="s">
        <v>46</v>
      </c>
      <c r="G120" t="s">
        <v>94</v>
      </c>
      <c r="H120" t="s">
        <v>95</v>
      </c>
      <c r="I120">
        <v>63330</v>
      </c>
      <c r="J120">
        <v>4</v>
      </c>
      <c r="K120" t="s">
        <v>49</v>
      </c>
      <c r="L120">
        <v>17336.13</v>
      </c>
      <c r="M120" t="str">
        <f t="shared" si="2"/>
        <v>Feb</v>
      </c>
      <c r="N120">
        <f t="shared" si="3"/>
        <v>2025</v>
      </c>
    </row>
    <row r="121" spans="1:14" x14ac:dyDescent="0.3">
      <c r="A121" t="s">
        <v>286</v>
      </c>
      <c r="B121" s="5">
        <v>45868</v>
      </c>
      <c r="C121" t="s">
        <v>14</v>
      </c>
      <c r="D121" t="s">
        <v>23</v>
      </c>
      <c r="E121" t="s">
        <v>82</v>
      </c>
      <c r="F121" t="s">
        <v>25</v>
      </c>
      <c r="G121" t="s">
        <v>57</v>
      </c>
      <c r="H121" t="s">
        <v>58</v>
      </c>
      <c r="I121">
        <v>30623</v>
      </c>
      <c r="J121">
        <v>4</v>
      </c>
      <c r="K121" t="s">
        <v>20</v>
      </c>
      <c r="L121">
        <v>4921.3100000000004</v>
      </c>
      <c r="M121" t="str">
        <f t="shared" si="2"/>
        <v>Jul</v>
      </c>
      <c r="N121">
        <f t="shared" si="3"/>
        <v>2025</v>
      </c>
    </row>
    <row r="122" spans="1:14" x14ac:dyDescent="0.3">
      <c r="A122" t="s">
        <v>288</v>
      </c>
      <c r="B122" s="5">
        <v>45835</v>
      </c>
      <c r="C122" t="s">
        <v>56</v>
      </c>
      <c r="D122" t="s">
        <v>32</v>
      </c>
      <c r="E122" t="s">
        <v>33</v>
      </c>
      <c r="F122" t="s">
        <v>46</v>
      </c>
      <c r="G122" t="s">
        <v>94</v>
      </c>
      <c r="H122" t="s">
        <v>95</v>
      </c>
      <c r="I122">
        <v>58230</v>
      </c>
      <c r="J122">
        <v>7</v>
      </c>
      <c r="K122" t="s">
        <v>49</v>
      </c>
      <c r="L122">
        <v>6440.3</v>
      </c>
      <c r="M122" t="str">
        <f t="shared" si="2"/>
        <v>Jun</v>
      </c>
      <c r="N122">
        <f t="shared" si="3"/>
        <v>2025</v>
      </c>
    </row>
    <row r="123" spans="1:14" x14ac:dyDescent="0.3">
      <c r="A123" t="s">
        <v>289</v>
      </c>
      <c r="B123" s="5">
        <v>45929</v>
      </c>
      <c r="C123" t="s">
        <v>72</v>
      </c>
      <c r="D123" t="s">
        <v>32</v>
      </c>
      <c r="E123" t="s">
        <v>45</v>
      </c>
      <c r="F123" t="s">
        <v>25</v>
      </c>
      <c r="G123" t="s">
        <v>40</v>
      </c>
      <c r="H123" t="s">
        <v>41</v>
      </c>
      <c r="I123">
        <v>14876</v>
      </c>
      <c r="J123">
        <v>8</v>
      </c>
      <c r="K123" t="s">
        <v>28</v>
      </c>
      <c r="L123">
        <v>2115.66</v>
      </c>
      <c r="M123" t="str">
        <f t="shared" si="2"/>
        <v>Sep</v>
      </c>
      <c r="N123">
        <f t="shared" si="3"/>
        <v>2025</v>
      </c>
    </row>
    <row r="124" spans="1:14" x14ac:dyDescent="0.3">
      <c r="A124" t="s">
        <v>291</v>
      </c>
      <c r="B124" s="5">
        <v>45955</v>
      </c>
      <c r="C124" t="s">
        <v>72</v>
      </c>
      <c r="D124" t="s">
        <v>38</v>
      </c>
      <c r="E124" t="s">
        <v>39</v>
      </c>
      <c r="F124" t="s">
        <v>46</v>
      </c>
      <c r="G124" t="s">
        <v>47</v>
      </c>
      <c r="H124" t="s">
        <v>48</v>
      </c>
      <c r="I124">
        <v>70615</v>
      </c>
      <c r="J124">
        <v>7</v>
      </c>
      <c r="K124" t="s">
        <v>34</v>
      </c>
      <c r="L124">
        <v>17146.43</v>
      </c>
      <c r="M124" t="str">
        <f t="shared" si="2"/>
        <v>Oct</v>
      </c>
      <c r="N124">
        <f t="shared" si="3"/>
        <v>2025</v>
      </c>
    </row>
    <row r="125" spans="1:14" x14ac:dyDescent="0.3">
      <c r="A125" t="s">
        <v>293</v>
      </c>
      <c r="B125" s="5">
        <v>45777</v>
      </c>
      <c r="C125" t="s">
        <v>44</v>
      </c>
      <c r="D125" t="s">
        <v>32</v>
      </c>
      <c r="E125" t="s">
        <v>116</v>
      </c>
      <c r="F125" t="s">
        <v>46</v>
      </c>
      <c r="G125" t="s">
        <v>47</v>
      </c>
      <c r="H125" t="s">
        <v>48</v>
      </c>
      <c r="I125">
        <v>21940</v>
      </c>
      <c r="J125">
        <v>7</v>
      </c>
      <c r="K125" t="s">
        <v>49</v>
      </c>
      <c r="L125">
        <v>3214.33</v>
      </c>
      <c r="M125" t="str">
        <f t="shared" si="2"/>
        <v>Apr</v>
      </c>
      <c r="N125">
        <f t="shared" si="3"/>
        <v>2025</v>
      </c>
    </row>
    <row r="126" spans="1:14" x14ac:dyDescent="0.3">
      <c r="A126" t="s">
        <v>294</v>
      </c>
      <c r="B126" s="5">
        <v>45707</v>
      </c>
      <c r="C126" t="s">
        <v>66</v>
      </c>
      <c r="D126" t="s">
        <v>15</v>
      </c>
      <c r="E126" t="s">
        <v>73</v>
      </c>
      <c r="F126" t="s">
        <v>17</v>
      </c>
      <c r="G126" t="s">
        <v>76</v>
      </c>
      <c r="H126" t="s">
        <v>77</v>
      </c>
      <c r="I126">
        <v>2026</v>
      </c>
      <c r="J126">
        <v>9</v>
      </c>
      <c r="K126" t="s">
        <v>28</v>
      </c>
      <c r="L126">
        <v>246.16</v>
      </c>
      <c r="M126" t="str">
        <f t="shared" si="2"/>
        <v>Feb</v>
      </c>
      <c r="N126">
        <f t="shared" si="3"/>
        <v>2025</v>
      </c>
    </row>
    <row r="127" spans="1:14" x14ac:dyDescent="0.3">
      <c r="A127" t="s">
        <v>296</v>
      </c>
      <c r="B127" s="5">
        <v>45794</v>
      </c>
      <c r="C127" t="s">
        <v>63</v>
      </c>
      <c r="D127" t="s">
        <v>38</v>
      </c>
      <c r="E127" t="s">
        <v>39</v>
      </c>
      <c r="F127" t="s">
        <v>46</v>
      </c>
      <c r="G127" t="s">
        <v>87</v>
      </c>
      <c r="H127" t="s">
        <v>88</v>
      </c>
      <c r="I127">
        <v>48514</v>
      </c>
      <c r="J127">
        <v>9</v>
      </c>
      <c r="K127" t="s">
        <v>53</v>
      </c>
      <c r="L127">
        <v>8304.68</v>
      </c>
      <c r="M127" t="str">
        <f t="shared" si="2"/>
        <v>May</v>
      </c>
      <c r="N127">
        <f t="shared" si="3"/>
        <v>2025</v>
      </c>
    </row>
    <row r="128" spans="1:14" x14ac:dyDescent="0.3">
      <c r="A128" t="s">
        <v>298</v>
      </c>
      <c r="B128" s="5">
        <v>45906</v>
      </c>
      <c r="C128" t="s">
        <v>66</v>
      </c>
      <c r="D128" t="s">
        <v>32</v>
      </c>
      <c r="E128" t="s">
        <v>116</v>
      </c>
      <c r="F128" t="s">
        <v>46</v>
      </c>
      <c r="G128" t="s">
        <v>47</v>
      </c>
      <c r="H128" t="s">
        <v>48</v>
      </c>
      <c r="I128">
        <v>63779</v>
      </c>
      <c r="J128">
        <v>9</v>
      </c>
      <c r="K128" t="s">
        <v>49</v>
      </c>
      <c r="L128">
        <v>8020.35</v>
      </c>
      <c r="M128" t="str">
        <f t="shared" si="2"/>
        <v>Sep</v>
      </c>
      <c r="N128">
        <f t="shared" si="3"/>
        <v>2025</v>
      </c>
    </row>
    <row r="129" spans="1:14" x14ac:dyDescent="0.3">
      <c r="A129" t="s">
        <v>300</v>
      </c>
      <c r="B129" s="5">
        <v>45767</v>
      </c>
      <c r="C129" t="s">
        <v>72</v>
      </c>
      <c r="D129" t="s">
        <v>38</v>
      </c>
      <c r="E129" t="s">
        <v>39</v>
      </c>
      <c r="F129" t="s">
        <v>25</v>
      </c>
      <c r="G129" t="s">
        <v>57</v>
      </c>
      <c r="H129" t="s">
        <v>58</v>
      </c>
      <c r="I129">
        <v>12402</v>
      </c>
      <c r="J129">
        <v>2</v>
      </c>
      <c r="K129" t="s">
        <v>49</v>
      </c>
      <c r="L129">
        <v>2733.85</v>
      </c>
      <c r="M129" t="str">
        <f t="shared" si="2"/>
        <v>Apr</v>
      </c>
      <c r="N129">
        <f t="shared" si="3"/>
        <v>2025</v>
      </c>
    </row>
    <row r="130" spans="1:14" x14ac:dyDescent="0.3">
      <c r="A130" t="s">
        <v>302</v>
      </c>
      <c r="B130" s="5">
        <v>45872</v>
      </c>
      <c r="C130" t="s">
        <v>31</v>
      </c>
      <c r="D130" t="s">
        <v>38</v>
      </c>
      <c r="E130" t="s">
        <v>39</v>
      </c>
      <c r="F130" t="s">
        <v>25</v>
      </c>
      <c r="G130" t="s">
        <v>26</v>
      </c>
      <c r="H130" t="s">
        <v>27</v>
      </c>
      <c r="I130">
        <v>13165</v>
      </c>
      <c r="J130">
        <v>8</v>
      </c>
      <c r="K130" t="s">
        <v>49</v>
      </c>
      <c r="L130">
        <v>1342.91</v>
      </c>
      <c r="M130" t="str">
        <f t="shared" si="2"/>
        <v>Aug</v>
      </c>
      <c r="N130">
        <f t="shared" si="3"/>
        <v>2025</v>
      </c>
    </row>
    <row r="131" spans="1:14" x14ac:dyDescent="0.3">
      <c r="A131" t="s">
        <v>303</v>
      </c>
      <c r="B131" s="5">
        <v>45659</v>
      </c>
      <c r="C131" t="s">
        <v>66</v>
      </c>
      <c r="D131" t="s">
        <v>32</v>
      </c>
      <c r="E131" t="s">
        <v>116</v>
      </c>
      <c r="F131" t="s">
        <v>17</v>
      </c>
      <c r="G131" t="s">
        <v>104</v>
      </c>
      <c r="H131" t="s">
        <v>105</v>
      </c>
      <c r="I131">
        <v>27944</v>
      </c>
      <c r="J131">
        <v>1</v>
      </c>
      <c r="K131" t="s">
        <v>53</v>
      </c>
      <c r="L131">
        <v>4119.8500000000004</v>
      </c>
      <c r="M131" t="str">
        <f t="shared" ref="M131:M194" si="4">TEXT(B131,"mmm")</f>
        <v>Jan</v>
      </c>
      <c r="N131">
        <f t="shared" ref="N131:N194" si="5">YEAR(B131)</f>
        <v>2025</v>
      </c>
    </row>
    <row r="132" spans="1:14" x14ac:dyDescent="0.3">
      <c r="A132" t="s">
        <v>305</v>
      </c>
      <c r="B132" s="5">
        <v>45811</v>
      </c>
      <c r="C132" t="s">
        <v>121</v>
      </c>
      <c r="D132" t="s">
        <v>15</v>
      </c>
      <c r="E132" t="s">
        <v>154</v>
      </c>
      <c r="F132" t="s">
        <v>25</v>
      </c>
      <c r="G132" t="s">
        <v>57</v>
      </c>
      <c r="H132" t="s">
        <v>58</v>
      </c>
      <c r="I132">
        <v>34640</v>
      </c>
      <c r="J132">
        <v>1</v>
      </c>
      <c r="K132" t="s">
        <v>20</v>
      </c>
      <c r="L132">
        <v>3385.72</v>
      </c>
      <c r="M132" t="str">
        <f t="shared" si="4"/>
        <v>Jun</v>
      </c>
      <c r="N132">
        <f t="shared" si="5"/>
        <v>2025</v>
      </c>
    </row>
    <row r="133" spans="1:14" x14ac:dyDescent="0.3">
      <c r="A133" t="s">
        <v>307</v>
      </c>
      <c r="B133" s="5">
        <v>45914</v>
      </c>
      <c r="C133" t="s">
        <v>56</v>
      </c>
      <c r="D133" t="s">
        <v>15</v>
      </c>
      <c r="E133" t="s">
        <v>154</v>
      </c>
      <c r="F133" t="s">
        <v>17</v>
      </c>
      <c r="G133" t="s">
        <v>76</v>
      </c>
      <c r="H133" t="s">
        <v>77</v>
      </c>
      <c r="I133">
        <v>45270</v>
      </c>
      <c r="J133">
        <v>9</v>
      </c>
      <c r="K133" t="s">
        <v>49</v>
      </c>
      <c r="L133">
        <v>12373.42</v>
      </c>
      <c r="M133" t="str">
        <f t="shared" si="4"/>
        <v>Sep</v>
      </c>
      <c r="N133">
        <f t="shared" si="5"/>
        <v>2025</v>
      </c>
    </row>
    <row r="134" spans="1:14" x14ac:dyDescent="0.3">
      <c r="A134" t="s">
        <v>309</v>
      </c>
      <c r="B134" s="5">
        <v>45938</v>
      </c>
      <c r="C134" t="s">
        <v>56</v>
      </c>
      <c r="D134" t="s">
        <v>23</v>
      </c>
      <c r="E134" t="s">
        <v>129</v>
      </c>
      <c r="F134" t="s">
        <v>17</v>
      </c>
      <c r="G134" t="s">
        <v>18</v>
      </c>
      <c r="H134" t="s">
        <v>19</v>
      </c>
      <c r="I134">
        <v>2858</v>
      </c>
      <c r="J134">
        <v>7</v>
      </c>
      <c r="K134" t="s">
        <v>34</v>
      </c>
      <c r="L134">
        <v>663.9</v>
      </c>
      <c r="M134" t="str">
        <f t="shared" si="4"/>
        <v>Oct</v>
      </c>
      <c r="N134">
        <f t="shared" si="5"/>
        <v>2025</v>
      </c>
    </row>
    <row r="135" spans="1:14" x14ac:dyDescent="0.3">
      <c r="A135" t="s">
        <v>310</v>
      </c>
      <c r="B135" s="5">
        <v>45705</v>
      </c>
      <c r="C135" t="s">
        <v>56</v>
      </c>
      <c r="D135" t="s">
        <v>32</v>
      </c>
      <c r="E135" t="s">
        <v>116</v>
      </c>
      <c r="F135" t="s">
        <v>17</v>
      </c>
      <c r="G135" t="s">
        <v>104</v>
      </c>
      <c r="H135" t="s">
        <v>105</v>
      </c>
      <c r="I135">
        <v>68626</v>
      </c>
      <c r="J135">
        <v>2</v>
      </c>
      <c r="K135" t="s">
        <v>34</v>
      </c>
      <c r="L135">
        <v>4321.8900000000003</v>
      </c>
      <c r="M135" t="str">
        <f t="shared" si="4"/>
        <v>Feb</v>
      </c>
      <c r="N135">
        <f t="shared" si="5"/>
        <v>2025</v>
      </c>
    </row>
    <row r="136" spans="1:14" x14ac:dyDescent="0.3">
      <c r="A136" t="s">
        <v>311</v>
      </c>
      <c r="B136" s="5">
        <v>45723</v>
      </c>
      <c r="C136" t="s">
        <v>56</v>
      </c>
      <c r="D136" t="s">
        <v>38</v>
      </c>
      <c r="E136" t="s">
        <v>67</v>
      </c>
      <c r="F136" t="s">
        <v>25</v>
      </c>
      <c r="G136" t="s">
        <v>26</v>
      </c>
      <c r="H136" t="s">
        <v>27</v>
      </c>
      <c r="I136">
        <v>75511</v>
      </c>
      <c r="J136">
        <v>7</v>
      </c>
      <c r="K136" t="s">
        <v>49</v>
      </c>
      <c r="L136">
        <v>13551.02</v>
      </c>
      <c r="M136" t="str">
        <f t="shared" si="4"/>
        <v>Mar</v>
      </c>
      <c r="N136">
        <f t="shared" si="5"/>
        <v>2025</v>
      </c>
    </row>
    <row r="137" spans="1:14" x14ac:dyDescent="0.3">
      <c r="A137" t="s">
        <v>313</v>
      </c>
      <c r="B137" s="5">
        <v>45851</v>
      </c>
      <c r="C137" t="s">
        <v>66</v>
      </c>
      <c r="D137" t="s">
        <v>38</v>
      </c>
      <c r="E137" t="s">
        <v>67</v>
      </c>
      <c r="F137" t="s">
        <v>46</v>
      </c>
      <c r="G137" t="s">
        <v>87</v>
      </c>
      <c r="H137" t="s">
        <v>88</v>
      </c>
      <c r="I137">
        <v>31824</v>
      </c>
      <c r="J137">
        <v>6</v>
      </c>
      <c r="K137" t="s">
        <v>28</v>
      </c>
      <c r="L137">
        <v>6441.68</v>
      </c>
      <c r="M137" t="str">
        <f t="shared" si="4"/>
        <v>Jul</v>
      </c>
      <c r="N137">
        <f t="shared" si="5"/>
        <v>2025</v>
      </c>
    </row>
    <row r="138" spans="1:14" x14ac:dyDescent="0.3">
      <c r="A138" t="s">
        <v>315</v>
      </c>
      <c r="B138" s="5">
        <v>45900</v>
      </c>
      <c r="C138" t="s">
        <v>91</v>
      </c>
      <c r="D138" t="s">
        <v>15</v>
      </c>
      <c r="E138" t="s">
        <v>73</v>
      </c>
      <c r="F138" t="s">
        <v>46</v>
      </c>
      <c r="G138" t="s">
        <v>94</v>
      </c>
      <c r="H138" t="s">
        <v>95</v>
      </c>
      <c r="I138">
        <v>69617</v>
      </c>
      <c r="J138">
        <v>8</v>
      </c>
      <c r="K138" t="s">
        <v>49</v>
      </c>
      <c r="L138">
        <v>8579.75</v>
      </c>
      <c r="M138" t="str">
        <f t="shared" si="4"/>
        <v>Aug</v>
      </c>
      <c r="N138">
        <f t="shared" si="5"/>
        <v>2025</v>
      </c>
    </row>
    <row r="139" spans="1:14" x14ac:dyDescent="0.3">
      <c r="A139" t="s">
        <v>316</v>
      </c>
      <c r="B139" s="5">
        <v>45781</v>
      </c>
      <c r="C139" t="s">
        <v>121</v>
      </c>
      <c r="D139" t="s">
        <v>23</v>
      </c>
      <c r="E139" t="s">
        <v>129</v>
      </c>
      <c r="F139" t="s">
        <v>46</v>
      </c>
      <c r="G139" t="s">
        <v>87</v>
      </c>
      <c r="H139" t="s">
        <v>88</v>
      </c>
      <c r="I139">
        <v>18997</v>
      </c>
      <c r="J139">
        <v>1</v>
      </c>
      <c r="K139" t="s">
        <v>28</v>
      </c>
      <c r="L139">
        <v>1727.18</v>
      </c>
      <c r="M139" t="str">
        <f t="shared" si="4"/>
        <v>May</v>
      </c>
      <c r="N139">
        <f t="shared" si="5"/>
        <v>2025</v>
      </c>
    </row>
    <row r="140" spans="1:14" x14ac:dyDescent="0.3">
      <c r="A140" t="s">
        <v>317</v>
      </c>
      <c r="B140" s="5">
        <v>45729</v>
      </c>
      <c r="C140" t="s">
        <v>66</v>
      </c>
      <c r="D140" t="s">
        <v>32</v>
      </c>
      <c r="E140" t="s">
        <v>116</v>
      </c>
      <c r="F140" t="s">
        <v>46</v>
      </c>
      <c r="G140" t="s">
        <v>94</v>
      </c>
      <c r="H140" t="s">
        <v>95</v>
      </c>
      <c r="I140">
        <v>69027</v>
      </c>
      <c r="J140">
        <v>2</v>
      </c>
      <c r="K140" t="s">
        <v>34</v>
      </c>
      <c r="L140">
        <v>6149.1</v>
      </c>
      <c r="M140" t="str">
        <f t="shared" si="4"/>
        <v>Mar</v>
      </c>
      <c r="N140">
        <f t="shared" si="5"/>
        <v>2025</v>
      </c>
    </row>
    <row r="141" spans="1:14" x14ac:dyDescent="0.3">
      <c r="A141" t="s">
        <v>318</v>
      </c>
      <c r="B141" s="5">
        <v>45863</v>
      </c>
      <c r="C141" t="s">
        <v>66</v>
      </c>
      <c r="D141" t="s">
        <v>32</v>
      </c>
      <c r="E141" t="s">
        <v>45</v>
      </c>
      <c r="F141" t="s">
        <v>25</v>
      </c>
      <c r="G141" t="s">
        <v>40</v>
      </c>
      <c r="H141" t="s">
        <v>41</v>
      </c>
      <c r="I141">
        <v>33505</v>
      </c>
      <c r="J141">
        <v>9</v>
      </c>
      <c r="K141" t="s">
        <v>49</v>
      </c>
      <c r="L141">
        <v>3540.28</v>
      </c>
      <c r="M141" t="str">
        <f t="shared" si="4"/>
        <v>Jul</v>
      </c>
      <c r="N141">
        <f t="shared" si="5"/>
        <v>2025</v>
      </c>
    </row>
    <row r="142" spans="1:14" x14ac:dyDescent="0.3">
      <c r="A142" t="s">
        <v>320</v>
      </c>
      <c r="B142" s="5">
        <v>45822</v>
      </c>
      <c r="C142" t="s">
        <v>44</v>
      </c>
      <c r="D142" t="s">
        <v>32</v>
      </c>
      <c r="E142" t="s">
        <v>116</v>
      </c>
      <c r="F142" t="s">
        <v>46</v>
      </c>
      <c r="G142" t="s">
        <v>94</v>
      </c>
      <c r="H142" t="s">
        <v>95</v>
      </c>
      <c r="I142">
        <v>9075</v>
      </c>
      <c r="J142">
        <v>8</v>
      </c>
      <c r="K142" t="s">
        <v>53</v>
      </c>
      <c r="L142">
        <v>2246.2800000000002</v>
      </c>
      <c r="M142" t="str">
        <f t="shared" si="4"/>
        <v>Jun</v>
      </c>
      <c r="N142">
        <f t="shared" si="5"/>
        <v>2025</v>
      </c>
    </row>
    <row r="143" spans="1:14" x14ac:dyDescent="0.3">
      <c r="A143" t="s">
        <v>322</v>
      </c>
      <c r="B143" s="5">
        <v>45999</v>
      </c>
      <c r="C143" t="s">
        <v>66</v>
      </c>
      <c r="D143" t="s">
        <v>15</v>
      </c>
      <c r="E143" t="s">
        <v>16</v>
      </c>
      <c r="F143" t="s">
        <v>46</v>
      </c>
      <c r="G143" t="s">
        <v>87</v>
      </c>
      <c r="H143" t="s">
        <v>88</v>
      </c>
      <c r="I143">
        <v>64129</v>
      </c>
      <c r="J143">
        <v>5</v>
      </c>
      <c r="K143" t="s">
        <v>34</v>
      </c>
      <c r="L143">
        <v>14993.44</v>
      </c>
      <c r="M143" t="str">
        <f t="shared" si="4"/>
        <v>Dec</v>
      </c>
      <c r="N143">
        <f t="shared" si="5"/>
        <v>2025</v>
      </c>
    </row>
    <row r="144" spans="1:14" x14ac:dyDescent="0.3">
      <c r="A144" t="s">
        <v>323</v>
      </c>
      <c r="B144" s="5">
        <v>45928</v>
      </c>
      <c r="C144" t="s">
        <v>121</v>
      </c>
      <c r="D144" t="s">
        <v>38</v>
      </c>
      <c r="E144" t="s">
        <v>52</v>
      </c>
      <c r="F144" t="s">
        <v>25</v>
      </c>
      <c r="G144" t="s">
        <v>40</v>
      </c>
      <c r="H144" t="s">
        <v>41</v>
      </c>
      <c r="I144">
        <v>42412</v>
      </c>
      <c r="J144">
        <v>1</v>
      </c>
      <c r="K144" t="s">
        <v>34</v>
      </c>
      <c r="L144">
        <v>3913.68</v>
      </c>
      <c r="M144" t="str">
        <f t="shared" si="4"/>
        <v>Sep</v>
      </c>
      <c r="N144">
        <f t="shared" si="5"/>
        <v>2025</v>
      </c>
    </row>
    <row r="145" spans="1:14" x14ac:dyDescent="0.3">
      <c r="A145" t="s">
        <v>325</v>
      </c>
      <c r="B145" s="5">
        <v>45720</v>
      </c>
      <c r="C145" t="s">
        <v>31</v>
      </c>
      <c r="D145" t="s">
        <v>15</v>
      </c>
      <c r="E145" t="s">
        <v>73</v>
      </c>
      <c r="F145" t="s">
        <v>25</v>
      </c>
      <c r="G145" t="s">
        <v>57</v>
      </c>
      <c r="H145" t="s">
        <v>58</v>
      </c>
      <c r="I145">
        <v>15541</v>
      </c>
      <c r="J145">
        <v>1</v>
      </c>
      <c r="K145" t="s">
        <v>49</v>
      </c>
      <c r="L145">
        <v>1420.93</v>
      </c>
      <c r="M145" t="str">
        <f t="shared" si="4"/>
        <v>Mar</v>
      </c>
      <c r="N145">
        <f t="shared" si="5"/>
        <v>2025</v>
      </c>
    </row>
    <row r="146" spans="1:14" x14ac:dyDescent="0.3">
      <c r="A146" t="s">
        <v>327</v>
      </c>
      <c r="B146" s="5">
        <v>45968</v>
      </c>
      <c r="C146" t="s">
        <v>31</v>
      </c>
      <c r="D146" t="s">
        <v>38</v>
      </c>
      <c r="E146" t="s">
        <v>52</v>
      </c>
      <c r="F146" t="s">
        <v>46</v>
      </c>
      <c r="G146" t="s">
        <v>94</v>
      </c>
      <c r="H146" t="s">
        <v>95</v>
      </c>
      <c r="I146">
        <v>23683</v>
      </c>
      <c r="J146">
        <v>1</v>
      </c>
      <c r="K146" t="s">
        <v>53</v>
      </c>
      <c r="L146">
        <v>5122.58</v>
      </c>
      <c r="M146" t="str">
        <f t="shared" si="4"/>
        <v>Nov</v>
      </c>
      <c r="N146">
        <f t="shared" si="5"/>
        <v>2025</v>
      </c>
    </row>
    <row r="147" spans="1:14" x14ac:dyDescent="0.3">
      <c r="A147" t="s">
        <v>329</v>
      </c>
      <c r="B147" s="5">
        <v>45930</v>
      </c>
      <c r="C147" t="s">
        <v>121</v>
      </c>
      <c r="D147" t="s">
        <v>32</v>
      </c>
      <c r="E147" t="s">
        <v>116</v>
      </c>
      <c r="F147" t="s">
        <v>25</v>
      </c>
      <c r="G147" t="s">
        <v>40</v>
      </c>
      <c r="H147" t="s">
        <v>41</v>
      </c>
      <c r="I147">
        <v>6666</v>
      </c>
      <c r="J147">
        <v>3</v>
      </c>
      <c r="K147" t="s">
        <v>34</v>
      </c>
      <c r="L147">
        <v>1607.3</v>
      </c>
      <c r="M147" t="str">
        <f t="shared" si="4"/>
        <v>Sep</v>
      </c>
      <c r="N147">
        <f t="shared" si="5"/>
        <v>2025</v>
      </c>
    </row>
    <row r="148" spans="1:14" x14ac:dyDescent="0.3">
      <c r="A148" t="s">
        <v>331</v>
      </c>
      <c r="B148" s="5">
        <v>45985</v>
      </c>
      <c r="C148" t="s">
        <v>121</v>
      </c>
      <c r="D148" t="s">
        <v>32</v>
      </c>
      <c r="E148" t="s">
        <v>33</v>
      </c>
      <c r="F148" t="s">
        <v>46</v>
      </c>
      <c r="G148" t="s">
        <v>94</v>
      </c>
      <c r="H148" t="s">
        <v>95</v>
      </c>
      <c r="I148">
        <v>43044</v>
      </c>
      <c r="J148">
        <v>5</v>
      </c>
      <c r="K148" t="s">
        <v>28</v>
      </c>
      <c r="L148">
        <v>6826.37</v>
      </c>
      <c r="M148" t="str">
        <f t="shared" si="4"/>
        <v>Nov</v>
      </c>
      <c r="N148">
        <f t="shared" si="5"/>
        <v>2025</v>
      </c>
    </row>
    <row r="149" spans="1:14" x14ac:dyDescent="0.3">
      <c r="A149" t="s">
        <v>333</v>
      </c>
      <c r="B149" s="5">
        <v>45996</v>
      </c>
      <c r="C149" t="s">
        <v>31</v>
      </c>
      <c r="D149" t="s">
        <v>32</v>
      </c>
      <c r="E149" t="s">
        <v>116</v>
      </c>
      <c r="F149" t="s">
        <v>25</v>
      </c>
      <c r="G149" t="s">
        <v>26</v>
      </c>
      <c r="H149" t="s">
        <v>27</v>
      </c>
      <c r="I149">
        <v>23140</v>
      </c>
      <c r="J149">
        <v>5</v>
      </c>
      <c r="K149" t="s">
        <v>28</v>
      </c>
      <c r="L149">
        <v>3666.06</v>
      </c>
      <c r="M149" t="str">
        <f t="shared" si="4"/>
        <v>Dec</v>
      </c>
      <c r="N149">
        <f t="shared" si="5"/>
        <v>2025</v>
      </c>
    </row>
    <row r="150" spans="1:14" x14ac:dyDescent="0.3">
      <c r="A150" t="s">
        <v>335</v>
      </c>
      <c r="B150" s="5">
        <v>45855</v>
      </c>
      <c r="C150" t="s">
        <v>91</v>
      </c>
      <c r="D150" t="s">
        <v>32</v>
      </c>
      <c r="E150" t="s">
        <v>33</v>
      </c>
      <c r="F150" t="s">
        <v>46</v>
      </c>
      <c r="G150" t="s">
        <v>94</v>
      </c>
      <c r="H150" t="s">
        <v>95</v>
      </c>
      <c r="I150">
        <v>1084</v>
      </c>
      <c r="J150">
        <v>9</v>
      </c>
      <c r="K150" t="s">
        <v>53</v>
      </c>
      <c r="L150">
        <v>145.63</v>
      </c>
      <c r="M150" t="str">
        <f t="shared" si="4"/>
        <v>Jul</v>
      </c>
      <c r="N150">
        <f t="shared" si="5"/>
        <v>2025</v>
      </c>
    </row>
    <row r="151" spans="1:14" x14ac:dyDescent="0.3">
      <c r="A151" t="s">
        <v>337</v>
      </c>
      <c r="B151" s="5">
        <v>45806</v>
      </c>
      <c r="C151" t="s">
        <v>72</v>
      </c>
      <c r="D151" t="s">
        <v>23</v>
      </c>
      <c r="E151" t="s">
        <v>129</v>
      </c>
      <c r="F151" t="s">
        <v>17</v>
      </c>
      <c r="G151" t="s">
        <v>18</v>
      </c>
      <c r="H151" t="s">
        <v>19</v>
      </c>
      <c r="I151">
        <v>42656</v>
      </c>
      <c r="J151">
        <v>4</v>
      </c>
      <c r="K151" t="s">
        <v>34</v>
      </c>
      <c r="L151">
        <v>7814.42</v>
      </c>
      <c r="M151" t="str">
        <f t="shared" si="4"/>
        <v>May</v>
      </c>
      <c r="N151">
        <f t="shared" si="5"/>
        <v>2025</v>
      </c>
    </row>
    <row r="152" spans="1:14" x14ac:dyDescent="0.3">
      <c r="A152" t="s">
        <v>339</v>
      </c>
      <c r="B152" s="5">
        <v>45948</v>
      </c>
      <c r="C152" t="s">
        <v>56</v>
      </c>
      <c r="D152" t="s">
        <v>15</v>
      </c>
      <c r="E152" t="s">
        <v>154</v>
      </c>
      <c r="F152" t="s">
        <v>46</v>
      </c>
      <c r="G152" t="s">
        <v>47</v>
      </c>
      <c r="H152" t="s">
        <v>48</v>
      </c>
      <c r="I152">
        <v>74932</v>
      </c>
      <c r="J152">
        <v>7</v>
      </c>
      <c r="K152" t="s">
        <v>53</v>
      </c>
      <c r="L152">
        <v>8303.02</v>
      </c>
      <c r="M152" t="str">
        <f t="shared" si="4"/>
        <v>Oct</v>
      </c>
      <c r="N152">
        <f t="shared" si="5"/>
        <v>2025</v>
      </c>
    </row>
    <row r="153" spans="1:14" x14ac:dyDescent="0.3">
      <c r="A153" t="s">
        <v>341</v>
      </c>
      <c r="B153" s="5">
        <v>45998</v>
      </c>
      <c r="C153" t="s">
        <v>37</v>
      </c>
      <c r="D153" t="s">
        <v>38</v>
      </c>
      <c r="E153" t="s">
        <v>67</v>
      </c>
      <c r="F153" t="s">
        <v>46</v>
      </c>
      <c r="G153" t="s">
        <v>47</v>
      </c>
      <c r="H153" t="s">
        <v>48</v>
      </c>
      <c r="I153">
        <v>36804</v>
      </c>
      <c r="J153">
        <v>9</v>
      </c>
      <c r="K153" t="s">
        <v>20</v>
      </c>
      <c r="L153">
        <v>4687.13</v>
      </c>
      <c r="M153" t="str">
        <f t="shared" si="4"/>
        <v>Dec</v>
      </c>
      <c r="N153">
        <f t="shared" si="5"/>
        <v>2025</v>
      </c>
    </row>
    <row r="154" spans="1:14" x14ac:dyDescent="0.3">
      <c r="A154" t="s">
        <v>342</v>
      </c>
      <c r="B154" s="5">
        <v>45786</v>
      </c>
      <c r="C154" t="s">
        <v>31</v>
      </c>
      <c r="D154" t="s">
        <v>23</v>
      </c>
      <c r="E154" t="s">
        <v>129</v>
      </c>
      <c r="F154" t="s">
        <v>17</v>
      </c>
      <c r="G154" t="s">
        <v>18</v>
      </c>
      <c r="H154" t="s">
        <v>19</v>
      </c>
      <c r="I154">
        <v>59851</v>
      </c>
      <c r="J154">
        <v>9</v>
      </c>
      <c r="K154" t="s">
        <v>20</v>
      </c>
      <c r="L154">
        <v>11362.58</v>
      </c>
      <c r="M154" t="str">
        <f t="shared" si="4"/>
        <v>May</v>
      </c>
      <c r="N154">
        <f t="shared" si="5"/>
        <v>2025</v>
      </c>
    </row>
    <row r="155" spans="1:14" x14ac:dyDescent="0.3">
      <c r="A155" t="s">
        <v>344</v>
      </c>
      <c r="B155" s="5">
        <v>45800</v>
      </c>
      <c r="C155" t="s">
        <v>91</v>
      </c>
      <c r="D155" t="s">
        <v>38</v>
      </c>
      <c r="E155" t="s">
        <v>52</v>
      </c>
      <c r="F155" t="s">
        <v>46</v>
      </c>
      <c r="G155" t="s">
        <v>94</v>
      </c>
      <c r="H155" t="s">
        <v>95</v>
      </c>
      <c r="I155">
        <v>40833</v>
      </c>
      <c r="J155">
        <v>4</v>
      </c>
      <c r="K155" t="s">
        <v>34</v>
      </c>
      <c r="L155">
        <v>9390.7199999999993</v>
      </c>
      <c r="M155" t="str">
        <f t="shared" si="4"/>
        <v>May</v>
      </c>
      <c r="N155">
        <f t="shared" si="5"/>
        <v>2025</v>
      </c>
    </row>
    <row r="156" spans="1:14" x14ac:dyDescent="0.3">
      <c r="A156" t="s">
        <v>346</v>
      </c>
      <c r="B156" s="5">
        <v>45931</v>
      </c>
      <c r="C156" t="s">
        <v>91</v>
      </c>
      <c r="D156" t="s">
        <v>38</v>
      </c>
      <c r="E156" t="s">
        <v>67</v>
      </c>
      <c r="F156" t="s">
        <v>46</v>
      </c>
      <c r="G156" t="s">
        <v>94</v>
      </c>
      <c r="H156" t="s">
        <v>95</v>
      </c>
      <c r="I156">
        <v>54695</v>
      </c>
      <c r="J156">
        <v>7</v>
      </c>
      <c r="K156" t="s">
        <v>49</v>
      </c>
      <c r="L156">
        <v>13976.41</v>
      </c>
      <c r="M156" t="str">
        <f t="shared" si="4"/>
        <v>Oct</v>
      </c>
      <c r="N156">
        <f t="shared" si="5"/>
        <v>2025</v>
      </c>
    </row>
    <row r="157" spans="1:14" x14ac:dyDescent="0.3">
      <c r="A157" t="s">
        <v>347</v>
      </c>
      <c r="B157" s="5">
        <v>45926</v>
      </c>
      <c r="C157" t="s">
        <v>121</v>
      </c>
      <c r="D157" t="s">
        <v>32</v>
      </c>
      <c r="E157" t="s">
        <v>33</v>
      </c>
      <c r="F157" t="s">
        <v>46</v>
      </c>
      <c r="G157" t="s">
        <v>94</v>
      </c>
      <c r="H157" t="s">
        <v>95</v>
      </c>
      <c r="I157">
        <v>44504</v>
      </c>
      <c r="J157">
        <v>3</v>
      </c>
      <c r="K157" t="s">
        <v>28</v>
      </c>
      <c r="L157">
        <v>8785.81</v>
      </c>
      <c r="M157" t="str">
        <f t="shared" si="4"/>
        <v>Sep</v>
      </c>
      <c r="N157">
        <f t="shared" si="5"/>
        <v>2025</v>
      </c>
    </row>
    <row r="158" spans="1:14" x14ac:dyDescent="0.3">
      <c r="A158" t="s">
        <v>349</v>
      </c>
      <c r="B158" s="5">
        <v>45970</v>
      </c>
      <c r="C158" t="s">
        <v>91</v>
      </c>
      <c r="D158" t="s">
        <v>23</v>
      </c>
      <c r="E158" t="s">
        <v>24</v>
      </c>
      <c r="F158" t="s">
        <v>25</v>
      </c>
      <c r="G158" t="s">
        <v>40</v>
      </c>
      <c r="H158" t="s">
        <v>41</v>
      </c>
      <c r="I158">
        <v>1423</v>
      </c>
      <c r="J158">
        <v>5</v>
      </c>
      <c r="K158" t="s">
        <v>28</v>
      </c>
      <c r="L158">
        <v>184.09</v>
      </c>
      <c r="M158" t="str">
        <f t="shared" si="4"/>
        <v>Nov</v>
      </c>
      <c r="N158">
        <f t="shared" si="5"/>
        <v>2025</v>
      </c>
    </row>
    <row r="159" spans="1:14" x14ac:dyDescent="0.3">
      <c r="A159" t="s">
        <v>350</v>
      </c>
      <c r="B159" s="5">
        <v>45828</v>
      </c>
      <c r="C159" t="s">
        <v>91</v>
      </c>
      <c r="D159" t="s">
        <v>38</v>
      </c>
      <c r="E159" t="s">
        <v>52</v>
      </c>
      <c r="F159" t="s">
        <v>17</v>
      </c>
      <c r="G159" t="s">
        <v>76</v>
      </c>
      <c r="H159" t="s">
        <v>77</v>
      </c>
      <c r="I159">
        <v>47767</v>
      </c>
      <c r="J159">
        <v>8</v>
      </c>
      <c r="K159" t="s">
        <v>34</v>
      </c>
      <c r="L159">
        <v>5453.95</v>
      </c>
      <c r="M159" t="str">
        <f t="shared" si="4"/>
        <v>Jun</v>
      </c>
      <c r="N159">
        <f t="shared" si="5"/>
        <v>2025</v>
      </c>
    </row>
    <row r="160" spans="1:14" x14ac:dyDescent="0.3">
      <c r="A160" t="s">
        <v>352</v>
      </c>
      <c r="B160" s="5">
        <v>45782</v>
      </c>
      <c r="C160" t="s">
        <v>14</v>
      </c>
      <c r="D160" t="s">
        <v>15</v>
      </c>
      <c r="E160" t="s">
        <v>154</v>
      </c>
      <c r="F160" t="s">
        <v>17</v>
      </c>
      <c r="G160" t="s">
        <v>76</v>
      </c>
      <c r="H160" t="s">
        <v>77</v>
      </c>
      <c r="I160">
        <v>5097</v>
      </c>
      <c r="J160">
        <v>6</v>
      </c>
      <c r="K160" t="s">
        <v>49</v>
      </c>
      <c r="L160">
        <v>1201.26</v>
      </c>
      <c r="M160" t="str">
        <f t="shared" si="4"/>
        <v>May</v>
      </c>
      <c r="N160">
        <f t="shared" si="5"/>
        <v>2025</v>
      </c>
    </row>
    <row r="161" spans="1:14" x14ac:dyDescent="0.3">
      <c r="A161" t="s">
        <v>354</v>
      </c>
      <c r="B161" s="5">
        <v>45807</v>
      </c>
      <c r="C161" t="s">
        <v>44</v>
      </c>
      <c r="D161" t="s">
        <v>23</v>
      </c>
      <c r="E161" t="s">
        <v>129</v>
      </c>
      <c r="F161" t="s">
        <v>17</v>
      </c>
      <c r="G161" t="s">
        <v>76</v>
      </c>
      <c r="H161" t="s">
        <v>77</v>
      </c>
      <c r="I161">
        <v>20713</v>
      </c>
      <c r="J161">
        <v>1</v>
      </c>
      <c r="K161" t="s">
        <v>20</v>
      </c>
      <c r="L161">
        <v>3535.88</v>
      </c>
      <c r="M161" t="str">
        <f t="shared" si="4"/>
        <v>May</v>
      </c>
      <c r="N161">
        <f t="shared" si="5"/>
        <v>2025</v>
      </c>
    </row>
    <row r="162" spans="1:14" x14ac:dyDescent="0.3">
      <c r="A162" t="s">
        <v>355</v>
      </c>
      <c r="B162" s="5">
        <v>45846</v>
      </c>
      <c r="C162" t="s">
        <v>37</v>
      </c>
      <c r="D162" t="s">
        <v>23</v>
      </c>
      <c r="E162" t="s">
        <v>82</v>
      </c>
      <c r="F162" t="s">
        <v>17</v>
      </c>
      <c r="G162" t="s">
        <v>104</v>
      </c>
      <c r="H162" t="s">
        <v>105</v>
      </c>
      <c r="I162">
        <v>38229</v>
      </c>
      <c r="J162">
        <v>1</v>
      </c>
      <c r="K162" t="s">
        <v>20</v>
      </c>
      <c r="L162">
        <v>8249.2000000000007</v>
      </c>
      <c r="M162" t="str">
        <f t="shared" si="4"/>
        <v>Jul</v>
      </c>
      <c r="N162">
        <f t="shared" si="5"/>
        <v>2025</v>
      </c>
    </row>
    <row r="163" spans="1:14" x14ac:dyDescent="0.3">
      <c r="A163" t="s">
        <v>357</v>
      </c>
      <c r="B163" s="5">
        <v>45793</v>
      </c>
      <c r="C163" t="s">
        <v>31</v>
      </c>
      <c r="D163" t="s">
        <v>38</v>
      </c>
      <c r="E163" t="s">
        <v>52</v>
      </c>
      <c r="F163" t="s">
        <v>17</v>
      </c>
      <c r="G163" t="s">
        <v>18</v>
      </c>
      <c r="H163" t="s">
        <v>19</v>
      </c>
      <c r="I163">
        <v>29318</v>
      </c>
      <c r="J163">
        <v>9</v>
      </c>
      <c r="K163" t="s">
        <v>20</v>
      </c>
      <c r="L163">
        <v>3288.43</v>
      </c>
      <c r="M163" t="str">
        <f t="shared" si="4"/>
        <v>May</v>
      </c>
      <c r="N163">
        <f t="shared" si="5"/>
        <v>2025</v>
      </c>
    </row>
    <row r="164" spans="1:14" x14ac:dyDescent="0.3">
      <c r="A164" t="s">
        <v>359</v>
      </c>
      <c r="B164" s="5">
        <v>45923</v>
      </c>
      <c r="C164" t="s">
        <v>72</v>
      </c>
      <c r="D164" t="s">
        <v>38</v>
      </c>
      <c r="E164" t="s">
        <v>39</v>
      </c>
      <c r="F164" t="s">
        <v>25</v>
      </c>
      <c r="G164" t="s">
        <v>57</v>
      </c>
      <c r="H164" t="s">
        <v>58</v>
      </c>
      <c r="I164">
        <v>14919</v>
      </c>
      <c r="J164">
        <v>2</v>
      </c>
      <c r="K164" t="s">
        <v>49</v>
      </c>
      <c r="L164">
        <v>1653.52</v>
      </c>
      <c r="M164" t="str">
        <f t="shared" si="4"/>
        <v>Sep</v>
      </c>
      <c r="N164">
        <f t="shared" si="5"/>
        <v>2025</v>
      </c>
    </row>
    <row r="165" spans="1:14" x14ac:dyDescent="0.3">
      <c r="A165" t="s">
        <v>361</v>
      </c>
      <c r="B165" s="5">
        <v>45987</v>
      </c>
      <c r="C165" t="s">
        <v>14</v>
      </c>
      <c r="D165" t="s">
        <v>23</v>
      </c>
      <c r="E165" t="s">
        <v>82</v>
      </c>
      <c r="F165" t="s">
        <v>25</v>
      </c>
      <c r="G165" t="s">
        <v>26</v>
      </c>
      <c r="H165" t="s">
        <v>27</v>
      </c>
      <c r="I165">
        <v>40456</v>
      </c>
      <c r="J165">
        <v>8</v>
      </c>
      <c r="K165" t="s">
        <v>53</v>
      </c>
      <c r="L165">
        <v>9631.7000000000007</v>
      </c>
      <c r="M165" t="str">
        <f t="shared" si="4"/>
        <v>Nov</v>
      </c>
      <c r="N165">
        <f t="shared" si="5"/>
        <v>2025</v>
      </c>
    </row>
    <row r="166" spans="1:14" x14ac:dyDescent="0.3">
      <c r="A166" t="s">
        <v>363</v>
      </c>
      <c r="B166" s="5">
        <v>45783</v>
      </c>
      <c r="C166" t="s">
        <v>14</v>
      </c>
      <c r="D166" t="s">
        <v>15</v>
      </c>
      <c r="E166" t="s">
        <v>154</v>
      </c>
      <c r="F166" t="s">
        <v>25</v>
      </c>
      <c r="G166" t="s">
        <v>26</v>
      </c>
      <c r="H166" t="s">
        <v>27</v>
      </c>
      <c r="I166">
        <v>73573</v>
      </c>
      <c r="J166">
        <v>1</v>
      </c>
      <c r="K166" t="s">
        <v>49</v>
      </c>
      <c r="L166">
        <v>20167.16</v>
      </c>
      <c r="M166" t="str">
        <f t="shared" si="4"/>
        <v>May</v>
      </c>
      <c r="N166">
        <f t="shared" si="5"/>
        <v>2025</v>
      </c>
    </row>
    <row r="167" spans="1:14" x14ac:dyDescent="0.3">
      <c r="A167" t="s">
        <v>364</v>
      </c>
      <c r="B167" s="5">
        <v>45801</v>
      </c>
      <c r="C167" t="s">
        <v>14</v>
      </c>
      <c r="D167" t="s">
        <v>38</v>
      </c>
      <c r="E167" t="s">
        <v>67</v>
      </c>
      <c r="F167" t="s">
        <v>17</v>
      </c>
      <c r="G167" t="s">
        <v>18</v>
      </c>
      <c r="H167" t="s">
        <v>19</v>
      </c>
      <c r="I167">
        <v>36845</v>
      </c>
      <c r="J167">
        <v>1</v>
      </c>
      <c r="K167" t="s">
        <v>20</v>
      </c>
      <c r="L167">
        <v>9852.17</v>
      </c>
      <c r="M167" t="str">
        <f t="shared" si="4"/>
        <v>May</v>
      </c>
      <c r="N167">
        <f t="shared" si="5"/>
        <v>2025</v>
      </c>
    </row>
    <row r="168" spans="1:14" x14ac:dyDescent="0.3">
      <c r="A168" t="s">
        <v>366</v>
      </c>
      <c r="B168" s="5">
        <v>45849</v>
      </c>
      <c r="C168" t="s">
        <v>37</v>
      </c>
      <c r="D168" t="s">
        <v>32</v>
      </c>
      <c r="E168" t="s">
        <v>116</v>
      </c>
      <c r="F168" t="s">
        <v>25</v>
      </c>
      <c r="G168" t="s">
        <v>26</v>
      </c>
      <c r="H168" t="s">
        <v>27</v>
      </c>
      <c r="I168">
        <v>68502</v>
      </c>
      <c r="J168">
        <v>3</v>
      </c>
      <c r="K168" t="s">
        <v>28</v>
      </c>
      <c r="L168">
        <v>5245.4</v>
      </c>
      <c r="M168" t="str">
        <f t="shared" si="4"/>
        <v>Jul</v>
      </c>
      <c r="N168">
        <f t="shared" si="5"/>
        <v>2025</v>
      </c>
    </row>
    <row r="169" spans="1:14" x14ac:dyDescent="0.3">
      <c r="A169" t="s">
        <v>368</v>
      </c>
      <c r="B169" s="5">
        <v>45992</v>
      </c>
      <c r="C169" t="s">
        <v>121</v>
      </c>
      <c r="D169" t="s">
        <v>38</v>
      </c>
      <c r="E169" t="s">
        <v>52</v>
      </c>
      <c r="F169" t="s">
        <v>25</v>
      </c>
      <c r="G169" t="s">
        <v>57</v>
      </c>
      <c r="H169" t="s">
        <v>58</v>
      </c>
      <c r="I169">
        <v>22132</v>
      </c>
      <c r="J169">
        <v>8</v>
      </c>
      <c r="K169" t="s">
        <v>28</v>
      </c>
      <c r="L169">
        <v>1729.91</v>
      </c>
      <c r="M169" t="str">
        <f t="shared" si="4"/>
        <v>Dec</v>
      </c>
      <c r="N169">
        <f t="shared" si="5"/>
        <v>2025</v>
      </c>
    </row>
    <row r="170" spans="1:14" x14ac:dyDescent="0.3">
      <c r="A170" t="s">
        <v>370</v>
      </c>
      <c r="B170" s="5">
        <v>45964</v>
      </c>
      <c r="C170" t="s">
        <v>72</v>
      </c>
      <c r="D170" t="s">
        <v>38</v>
      </c>
      <c r="E170" t="s">
        <v>67</v>
      </c>
      <c r="F170" t="s">
        <v>17</v>
      </c>
      <c r="G170" t="s">
        <v>76</v>
      </c>
      <c r="H170" t="s">
        <v>77</v>
      </c>
      <c r="I170">
        <v>30241</v>
      </c>
      <c r="J170">
        <v>3</v>
      </c>
      <c r="K170" t="s">
        <v>49</v>
      </c>
      <c r="L170">
        <v>8190.02</v>
      </c>
      <c r="M170" t="str">
        <f t="shared" si="4"/>
        <v>Nov</v>
      </c>
      <c r="N170">
        <f t="shared" si="5"/>
        <v>2025</v>
      </c>
    </row>
    <row r="171" spans="1:14" x14ac:dyDescent="0.3">
      <c r="A171" t="s">
        <v>372</v>
      </c>
      <c r="B171" s="5">
        <v>45808</v>
      </c>
      <c r="C171" t="s">
        <v>31</v>
      </c>
      <c r="D171" t="s">
        <v>38</v>
      </c>
      <c r="E171" t="s">
        <v>39</v>
      </c>
      <c r="F171" t="s">
        <v>17</v>
      </c>
      <c r="G171" t="s">
        <v>104</v>
      </c>
      <c r="H171" t="s">
        <v>105</v>
      </c>
      <c r="I171">
        <v>7148</v>
      </c>
      <c r="J171">
        <v>8</v>
      </c>
      <c r="K171" t="s">
        <v>49</v>
      </c>
      <c r="L171">
        <v>1618.63</v>
      </c>
      <c r="M171" t="str">
        <f t="shared" si="4"/>
        <v>May</v>
      </c>
      <c r="N171">
        <f t="shared" si="5"/>
        <v>2025</v>
      </c>
    </row>
    <row r="172" spans="1:14" x14ac:dyDescent="0.3">
      <c r="A172" t="s">
        <v>374</v>
      </c>
      <c r="B172" s="5">
        <v>45982</v>
      </c>
      <c r="C172" t="s">
        <v>63</v>
      </c>
      <c r="D172" t="s">
        <v>23</v>
      </c>
      <c r="E172" t="s">
        <v>129</v>
      </c>
      <c r="F172" t="s">
        <v>17</v>
      </c>
      <c r="G172" t="s">
        <v>76</v>
      </c>
      <c r="H172" t="s">
        <v>77</v>
      </c>
      <c r="I172">
        <v>29915</v>
      </c>
      <c r="J172">
        <v>6</v>
      </c>
      <c r="K172" t="s">
        <v>34</v>
      </c>
      <c r="L172">
        <v>7325.59</v>
      </c>
      <c r="M172" t="str">
        <f t="shared" si="4"/>
        <v>Nov</v>
      </c>
      <c r="N172">
        <f t="shared" si="5"/>
        <v>2025</v>
      </c>
    </row>
    <row r="173" spans="1:14" x14ac:dyDescent="0.3">
      <c r="A173" t="s">
        <v>376</v>
      </c>
      <c r="B173" s="5">
        <v>45710</v>
      </c>
      <c r="C173" t="s">
        <v>66</v>
      </c>
      <c r="D173" t="s">
        <v>38</v>
      </c>
      <c r="E173" t="s">
        <v>39</v>
      </c>
      <c r="F173" t="s">
        <v>17</v>
      </c>
      <c r="G173" t="s">
        <v>18</v>
      </c>
      <c r="H173" t="s">
        <v>19</v>
      </c>
      <c r="I173">
        <v>35983</v>
      </c>
      <c r="J173">
        <v>1</v>
      </c>
      <c r="K173" t="s">
        <v>28</v>
      </c>
      <c r="L173">
        <v>8265.91</v>
      </c>
      <c r="M173" t="str">
        <f t="shared" si="4"/>
        <v>Feb</v>
      </c>
      <c r="N173">
        <f t="shared" si="5"/>
        <v>2025</v>
      </c>
    </row>
    <row r="174" spans="1:14" x14ac:dyDescent="0.3">
      <c r="A174" t="s">
        <v>378</v>
      </c>
      <c r="B174" s="5">
        <v>45737</v>
      </c>
      <c r="C174" t="s">
        <v>72</v>
      </c>
      <c r="D174" t="s">
        <v>23</v>
      </c>
      <c r="E174" t="s">
        <v>82</v>
      </c>
      <c r="F174" t="s">
        <v>25</v>
      </c>
      <c r="G174" t="s">
        <v>40</v>
      </c>
      <c r="H174" t="s">
        <v>41</v>
      </c>
      <c r="I174">
        <v>54146</v>
      </c>
      <c r="J174">
        <v>2</v>
      </c>
      <c r="K174" t="s">
        <v>49</v>
      </c>
      <c r="L174">
        <v>5252.42</v>
      </c>
      <c r="M174" t="str">
        <f t="shared" si="4"/>
        <v>Mar</v>
      </c>
      <c r="N174">
        <f t="shared" si="5"/>
        <v>2025</v>
      </c>
    </row>
    <row r="175" spans="1:14" x14ac:dyDescent="0.3">
      <c r="A175" t="s">
        <v>380</v>
      </c>
      <c r="B175" s="5">
        <v>45939</v>
      </c>
      <c r="C175" t="s">
        <v>37</v>
      </c>
      <c r="D175" t="s">
        <v>15</v>
      </c>
      <c r="E175" t="s">
        <v>73</v>
      </c>
      <c r="F175" t="s">
        <v>25</v>
      </c>
      <c r="G175" t="s">
        <v>40</v>
      </c>
      <c r="H175" t="s">
        <v>41</v>
      </c>
      <c r="I175">
        <v>3883</v>
      </c>
      <c r="J175">
        <v>4</v>
      </c>
      <c r="K175" t="s">
        <v>53</v>
      </c>
      <c r="L175">
        <v>716.14</v>
      </c>
      <c r="M175" t="str">
        <f t="shared" si="4"/>
        <v>Oct</v>
      </c>
      <c r="N175">
        <f t="shared" si="5"/>
        <v>2025</v>
      </c>
    </row>
    <row r="176" spans="1:14" x14ac:dyDescent="0.3">
      <c r="A176" t="s">
        <v>382</v>
      </c>
      <c r="B176" s="5">
        <v>45926</v>
      </c>
      <c r="C176" t="s">
        <v>66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75993</v>
      </c>
      <c r="J176">
        <v>1</v>
      </c>
      <c r="K176" t="s">
        <v>49</v>
      </c>
      <c r="L176">
        <v>19526.48</v>
      </c>
      <c r="M176" t="str">
        <f t="shared" si="4"/>
        <v>Sep</v>
      </c>
      <c r="N176">
        <f t="shared" si="5"/>
        <v>2025</v>
      </c>
    </row>
    <row r="177" spans="1:14" x14ac:dyDescent="0.3">
      <c r="A177" t="s">
        <v>383</v>
      </c>
      <c r="B177" s="5">
        <v>45756</v>
      </c>
      <c r="C177" t="s">
        <v>121</v>
      </c>
      <c r="D177" t="s">
        <v>23</v>
      </c>
      <c r="E177" t="s">
        <v>82</v>
      </c>
      <c r="F177" t="s">
        <v>17</v>
      </c>
      <c r="G177" t="s">
        <v>76</v>
      </c>
      <c r="H177" t="s">
        <v>77</v>
      </c>
      <c r="I177">
        <v>39651</v>
      </c>
      <c r="J177">
        <v>10</v>
      </c>
      <c r="K177" t="s">
        <v>53</v>
      </c>
      <c r="L177">
        <v>7095.31</v>
      </c>
      <c r="M177" t="str">
        <f t="shared" si="4"/>
        <v>Apr</v>
      </c>
      <c r="N177">
        <f t="shared" si="5"/>
        <v>2025</v>
      </c>
    </row>
    <row r="178" spans="1:14" x14ac:dyDescent="0.3">
      <c r="A178" t="s">
        <v>385</v>
      </c>
      <c r="B178" s="5">
        <v>46006</v>
      </c>
      <c r="C178" t="s">
        <v>121</v>
      </c>
      <c r="D178" t="s">
        <v>23</v>
      </c>
      <c r="E178" t="s">
        <v>129</v>
      </c>
      <c r="F178" t="s">
        <v>17</v>
      </c>
      <c r="G178" t="s">
        <v>76</v>
      </c>
      <c r="H178" t="s">
        <v>77</v>
      </c>
      <c r="I178">
        <v>73860</v>
      </c>
      <c r="J178">
        <v>6</v>
      </c>
      <c r="K178" t="s">
        <v>20</v>
      </c>
      <c r="L178">
        <v>6757.89</v>
      </c>
      <c r="M178" t="str">
        <f t="shared" si="4"/>
        <v>Dec</v>
      </c>
      <c r="N178">
        <f t="shared" si="5"/>
        <v>2025</v>
      </c>
    </row>
    <row r="179" spans="1:14" x14ac:dyDescent="0.3">
      <c r="A179" t="s">
        <v>386</v>
      </c>
      <c r="B179" s="5">
        <v>45922</v>
      </c>
      <c r="C179" t="s">
        <v>63</v>
      </c>
      <c r="D179" t="s">
        <v>15</v>
      </c>
      <c r="E179" t="s">
        <v>154</v>
      </c>
      <c r="F179" t="s">
        <v>25</v>
      </c>
      <c r="G179" t="s">
        <v>26</v>
      </c>
      <c r="H179" t="s">
        <v>27</v>
      </c>
      <c r="I179">
        <v>33628</v>
      </c>
      <c r="J179">
        <v>7</v>
      </c>
      <c r="K179" t="s">
        <v>49</v>
      </c>
      <c r="L179">
        <v>7974.23</v>
      </c>
      <c r="M179" t="str">
        <f t="shared" si="4"/>
        <v>Sep</v>
      </c>
      <c r="N179">
        <f t="shared" si="5"/>
        <v>2025</v>
      </c>
    </row>
    <row r="180" spans="1:14" x14ac:dyDescent="0.3">
      <c r="A180" t="s">
        <v>388</v>
      </c>
      <c r="B180" s="5">
        <v>45824</v>
      </c>
      <c r="C180" t="s">
        <v>72</v>
      </c>
      <c r="D180" t="s">
        <v>23</v>
      </c>
      <c r="E180" t="s">
        <v>129</v>
      </c>
      <c r="F180" t="s">
        <v>46</v>
      </c>
      <c r="G180" t="s">
        <v>47</v>
      </c>
      <c r="H180" t="s">
        <v>48</v>
      </c>
      <c r="I180">
        <v>76361</v>
      </c>
      <c r="J180">
        <v>4</v>
      </c>
      <c r="K180" t="s">
        <v>28</v>
      </c>
      <c r="L180">
        <v>9323.98</v>
      </c>
      <c r="M180" t="str">
        <f t="shared" si="4"/>
        <v>Jun</v>
      </c>
      <c r="N180">
        <f t="shared" si="5"/>
        <v>2025</v>
      </c>
    </row>
    <row r="181" spans="1:14" x14ac:dyDescent="0.3">
      <c r="A181" t="s">
        <v>389</v>
      </c>
      <c r="B181" s="5">
        <v>45703</v>
      </c>
      <c r="C181" t="s">
        <v>121</v>
      </c>
      <c r="D181" t="s">
        <v>23</v>
      </c>
      <c r="E181" t="s">
        <v>129</v>
      </c>
      <c r="F181" t="s">
        <v>25</v>
      </c>
      <c r="G181" t="s">
        <v>26</v>
      </c>
      <c r="H181" t="s">
        <v>27</v>
      </c>
      <c r="I181">
        <v>13305</v>
      </c>
      <c r="J181">
        <v>5</v>
      </c>
      <c r="K181" t="s">
        <v>20</v>
      </c>
      <c r="L181">
        <v>3698.95</v>
      </c>
      <c r="M181" t="str">
        <f t="shared" si="4"/>
        <v>Feb</v>
      </c>
      <c r="N181">
        <f t="shared" si="5"/>
        <v>2025</v>
      </c>
    </row>
    <row r="182" spans="1:14" x14ac:dyDescent="0.3">
      <c r="A182" t="s">
        <v>391</v>
      </c>
      <c r="B182" s="5">
        <v>45991</v>
      </c>
      <c r="C182" t="s">
        <v>31</v>
      </c>
      <c r="D182" t="s">
        <v>38</v>
      </c>
      <c r="E182" t="s">
        <v>39</v>
      </c>
      <c r="F182" t="s">
        <v>17</v>
      </c>
      <c r="G182" t="s">
        <v>76</v>
      </c>
      <c r="H182" t="s">
        <v>77</v>
      </c>
      <c r="I182">
        <v>39183</v>
      </c>
      <c r="J182">
        <v>7</v>
      </c>
      <c r="K182" t="s">
        <v>53</v>
      </c>
      <c r="L182">
        <v>8559.33</v>
      </c>
      <c r="M182" t="str">
        <f t="shared" si="4"/>
        <v>Nov</v>
      </c>
      <c r="N182">
        <f t="shared" si="5"/>
        <v>2025</v>
      </c>
    </row>
    <row r="183" spans="1:14" x14ac:dyDescent="0.3">
      <c r="A183" t="s">
        <v>393</v>
      </c>
      <c r="B183" s="5">
        <v>45937</v>
      </c>
      <c r="C183" t="s">
        <v>91</v>
      </c>
      <c r="D183" t="s">
        <v>15</v>
      </c>
      <c r="E183" t="s">
        <v>16</v>
      </c>
      <c r="F183" t="s">
        <v>25</v>
      </c>
      <c r="G183" t="s">
        <v>26</v>
      </c>
      <c r="H183" t="s">
        <v>27</v>
      </c>
      <c r="I183">
        <v>53670</v>
      </c>
      <c r="J183">
        <v>9</v>
      </c>
      <c r="K183" t="s">
        <v>49</v>
      </c>
      <c r="L183">
        <v>12735.12</v>
      </c>
      <c r="M183" t="str">
        <f t="shared" si="4"/>
        <v>Oct</v>
      </c>
      <c r="N183">
        <f t="shared" si="5"/>
        <v>2025</v>
      </c>
    </row>
    <row r="184" spans="1:14" x14ac:dyDescent="0.3">
      <c r="A184" t="s">
        <v>395</v>
      </c>
      <c r="B184" s="5">
        <v>45839</v>
      </c>
      <c r="C184" t="s">
        <v>66</v>
      </c>
      <c r="D184" t="s">
        <v>32</v>
      </c>
      <c r="E184" t="s">
        <v>45</v>
      </c>
      <c r="F184" t="s">
        <v>46</v>
      </c>
      <c r="G184" t="s">
        <v>87</v>
      </c>
      <c r="H184" t="s">
        <v>88</v>
      </c>
      <c r="I184">
        <v>31194</v>
      </c>
      <c r="J184">
        <v>8</v>
      </c>
      <c r="K184" t="s">
        <v>53</v>
      </c>
      <c r="L184">
        <v>4762.42</v>
      </c>
      <c r="M184" t="str">
        <f t="shared" si="4"/>
        <v>Jul</v>
      </c>
      <c r="N184">
        <f t="shared" si="5"/>
        <v>2025</v>
      </c>
    </row>
    <row r="185" spans="1:14" x14ac:dyDescent="0.3">
      <c r="A185" t="s">
        <v>396</v>
      </c>
      <c r="B185" s="5">
        <v>45843</v>
      </c>
      <c r="C185" t="s">
        <v>56</v>
      </c>
      <c r="D185" t="s">
        <v>23</v>
      </c>
      <c r="E185" t="s">
        <v>24</v>
      </c>
      <c r="F185" t="s">
        <v>46</v>
      </c>
      <c r="G185" t="s">
        <v>94</v>
      </c>
      <c r="H185" t="s">
        <v>95</v>
      </c>
      <c r="I185">
        <v>42947</v>
      </c>
      <c r="J185">
        <v>6</v>
      </c>
      <c r="K185" t="s">
        <v>28</v>
      </c>
      <c r="L185">
        <v>9638.75</v>
      </c>
      <c r="M185" t="str">
        <f t="shared" si="4"/>
        <v>Jul</v>
      </c>
      <c r="N185">
        <f t="shared" si="5"/>
        <v>2025</v>
      </c>
    </row>
    <row r="186" spans="1:14" x14ac:dyDescent="0.3">
      <c r="A186" t="s">
        <v>398</v>
      </c>
      <c r="B186" s="5">
        <v>45715</v>
      </c>
      <c r="C186" t="s">
        <v>14</v>
      </c>
      <c r="D186" t="s">
        <v>23</v>
      </c>
      <c r="E186" t="s">
        <v>24</v>
      </c>
      <c r="F186" t="s">
        <v>46</v>
      </c>
      <c r="G186" t="s">
        <v>87</v>
      </c>
      <c r="H186" t="s">
        <v>88</v>
      </c>
      <c r="I186">
        <v>2966</v>
      </c>
      <c r="J186">
        <v>1</v>
      </c>
      <c r="K186" t="s">
        <v>49</v>
      </c>
      <c r="L186">
        <v>454.62</v>
      </c>
      <c r="M186" t="str">
        <f t="shared" si="4"/>
        <v>Feb</v>
      </c>
      <c r="N186">
        <f t="shared" si="5"/>
        <v>2025</v>
      </c>
    </row>
    <row r="187" spans="1:14" x14ac:dyDescent="0.3">
      <c r="A187" t="s">
        <v>400</v>
      </c>
      <c r="B187" s="5">
        <v>45972</v>
      </c>
      <c r="C187" t="s">
        <v>14</v>
      </c>
      <c r="D187" t="s">
        <v>23</v>
      </c>
      <c r="E187" t="s">
        <v>24</v>
      </c>
      <c r="F187" t="s">
        <v>25</v>
      </c>
      <c r="G187" t="s">
        <v>40</v>
      </c>
      <c r="H187" t="s">
        <v>41</v>
      </c>
      <c r="I187">
        <v>48509</v>
      </c>
      <c r="J187">
        <v>10</v>
      </c>
      <c r="K187" t="s">
        <v>49</v>
      </c>
      <c r="L187">
        <v>7673.42</v>
      </c>
      <c r="M187" t="str">
        <f t="shared" si="4"/>
        <v>Nov</v>
      </c>
      <c r="N187">
        <f t="shared" si="5"/>
        <v>2025</v>
      </c>
    </row>
    <row r="188" spans="1:14" x14ac:dyDescent="0.3">
      <c r="A188" t="s">
        <v>402</v>
      </c>
      <c r="B188" s="5">
        <v>45964</v>
      </c>
      <c r="C188" t="s">
        <v>91</v>
      </c>
      <c r="D188" t="s">
        <v>15</v>
      </c>
      <c r="E188" t="s">
        <v>73</v>
      </c>
      <c r="F188" t="s">
        <v>46</v>
      </c>
      <c r="G188" t="s">
        <v>87</v>
      </c>
      <c r="H188" t="s">
        <v>88</v>
      </c>
      <c r="I188">
        <v>23003</v>
      </c>
      <c r="J188">
        <v>10</v>
      </c>
      <c r="K188" t="s">
        <v>20</v>
      </c>
      <c r="L188">
        <v>5306.94</v>
      </c>
      <c r="M188" t="str">
        <f t="shared" si="4"/>
        <v>Nov</v>
      </c>
      <c r="N188">
        <f t="shared" si="5"/>
        <v>2025</v>
      </c>
    </row>
    <row r="189" spans="1:14" x14ac:dyDescent="0.3">
      <c r="A189" t="s">
        <v>403</v>
      </c>
      <c r="B189" s="5">
        <v>45930</v>
      </c>
      <c r="C189" t="s">
        <v>44</v>
      </c>
      <c r="D189" t="s">
        <v>15</v>
      </c>
      <c r="E189" t="s">
        <v>73</v>
      </c>
      <c r="F189" t="s">
        <v>25</v>
      </c>
      <c r="G189" t="s">
        <v>57</v>
      </c>
      <c r="H189" t="s">
        <v>58</v>
      </c>
      <c r="I189">
        <v>32323</v>
      </c>
      <c r="J189">
        <v>9</v>
      </c>
      <c r="K189" t="s">
        <v>20</v>
      </c>
      <c r="L189">
        <v>7943.55</v>
      </c>
      <c r="M189" t="str">
        <f t="shared" si="4"/>
        <v>Sep</v>
      </c>
      <c r="N189">
        <f t="shared" si="5"/>
        <v>2025</v>
      </c>
    </row>
    <row r="190" spans="1:14" x14ac:dyDescent="0.3">
      <c r="A190" t="s">
        <v>404</v>
      </c>
      <c r="B190" s="5">
        <v>46003</v>
      </c>
      <c r="C190" t="s">
        <v>91</v>
      </c>
      <c r="D190" t="s">
        <v>23</v>
      </c>
      <c r="E190" t="s">
        <v>82</v>
      </c>
      <c r="F190" t="s">
        <v>17</v>
      </c>
      <c r="G190" t="s">
        <v>76</v>
      </c>
      <c r="H190" t="s">
        <v>77</v>
      </c>
      <c r="I190">
        <v>38647</v>
      </c>
      <c r="J190">
        <v>10</v>
      </c>
      <c r="K190" t="s">
        <v>49</v>
      </c>
      <c r="L190">
        <v>2998.68</v>
      </c>
      <c r="M190" t="str">
        <f t="shared" si="4"/>
        <v>Dec</v>
      </c>
      <c r="N190">
        <f t="shared" si="5"/>
        <v>2025</v>
      </c>
    </row>
    <row r="191" spans="1:14" x14ac:dyDescent="0.3">
      <c r="A191" t="s">
        <v>405</v>
      </c>
      <c r="B191" s="5">
        <v>45752</v>
      </c>
      <c r="C191" t="s">
        <v>63</v>
      </c>
      <c r="D191" t="s">
        <v>32</v>
      </c>
      <c r="E191" t="s">
        <v>33</v>
      </c>
      <c r="F191" t="s">
        <v>25</v>
      </c>
      <c r="G191" t="s">
        <v>57</v>
      </c>
      <c r="H191" t="s">
        <v>58</v>
      </c>
      <c r="I191">
        <v>71703</v>
      </c>
      <c r="J191">
        <v>4</v>
      </c>
      <c r="K191" t="s">
        <v>28</v>
      </c>
      <c r="L191">
        <v>6138.11</v>
      </c>
      <c r="M191" t="str">
        <f t="shared" si="4"/>
        <v>Apr</v>
      </c>
      <c r="N191">
        <f t="shared" si="5"/>
        <v>2025</v>
      </c>
    </row>
    <row r="192" spans="1:14" x14ac:dyDescent="0.3">
      <c r="A192" t="s">
        <v>407</v>
      </c>
      <c r="B192" s="5">
        <v>45861</v>
      </c>
      <c r="C192" t="s">
        <v>31</v>
      </c>
      <c r="D192" t="s">
        <v>15</v>
      </c>
      <c r="E192" t="s">
        <v>16</v>
      </c>
      <c r="F192" t="s">
        <v>25</v>
      </c>
      <c r="G192" t="s">
        <v>26</v>
      </c>
      <c r="H192" t="s">
        <v>27</v>
      </c>
      <c r="I192">
        <v>35981</v>
      </c>
      <c r="J192">
        <v>9</v>
      </c>
      <c r="K192" t="s">
        <v>28</v>
      </c>
      <c r="L192">
        <v>7860.01</v>
      </c>
      <c r="M192" t="str">
        <f t="shared" si="4"/>
        <v>Jul</v>
      </c>
      <c r="N192">
        <f t="shared" si="5"/>
        <v>2025</v>
      </c>
    </row>
    <row r="193" spans="1:14" x14ac:dyDescent="0.3">
      <c r="A193" t="s">
        <v>408</v>
      </c>
      <c r="B193" s="5">
        <v>45856</v>
      </c>
      <c r="C193" t="s">
        <v>44</v>
      </c>
      <c r="D193" t="s">
        <v>15</v>
      </c>
      <c r="E193" t="s">
        <v>16</v>
      </c>
      <c r="F193" t="s">
        <v>17</v>
      </c>
      <c r="G193" t="s">
        <v>76</v>
      </c>
      <c r="H193" t="s">
        <v>77</v>
      </c>
      <c r="I193">
        <v>37464</v>
      </c>
      <c r="J193">
        <v>9</v>
      </c>
      <c r="K193" t="s">
        <v>28</v>
      </c>
      <c r="L193">
        <v>3173.56</v>
      </c>
      <c r="M193" t="str">
        <f t="shared" si="4"/>
        <v>Jul</v>
      </c>
      <c r="N193">
        <f t="shared" si="5"/>
        <v>2025</v>
      </c>
    </row>
    <row r="194" spans="1:14" x14ac:dyDescent="0.3">
      <c r="A194" t="s">
        <v>409</v>
      </c>
      <c r="B194" s="5">
        <v>45677</v>
      </c>
      <c r="C194" t="s">
        <v>72</v>
      </c>
      <c r="D194" t="s">
        <v>15</v>
      </c>
      <c r="E194" t="s">
        <v>154</v>
      </c>
      <c r="F194" t="s">
        <v>17</v>
      </c>
      <c r="G194" t="s">
        <v>18</v>
      </c>
      <c r="H194" t="s">
        <v>19</v>
      </c>
      <c r="I194">
        <v>42598</v>
      </c>
      <c r="J194">
        <v>9</v>
      </c>
      <c r="K194" t="s">
        <v>34</v>
      </c>
      <c r="L194">
        <v>2882.79</v>
      </c>
      <c r="M194" t="str">
        <f t="shared" si="4"/>
        <v>Jan</v>
      </c>
      <c r="N194">
        <f t="shared" si="5"/>
        <v>2025</v>
      </c>
    </row>
    <row r="195" spans="1:14" x14ac:dyDescent="0.3">
      <c r="A195" t="s">
        <v>411</v>
      </c>
      <c r="B195" s="5">
        <v>45658</v>
      </c>
      <c r="C195" t="s">
        <v>63</v>
      </c>
      <c r="D195" t="s">
        <v>32</v>
      </c>
      <c r="E195" t="s">
        <v>116</v>
      </c>
      <c r="F195" t="s">
        <v>17</v>
      </c>
      <c r="G195" t="s">
        <v>104</v>
      </c>
      <c r="H195" t="s">
        <v>105</v>
      </c>
      <c r="I195">
        <v>5617</v>
      </c>
      <c r="J195">
        <v>9</v>
      </c>
      <c r="K195" t="s">
        <v>34</v>
      </c>
      <c r="L195">
        <v>650.4</v>
      </c>
      <c r="M195" t="str">
        <f t="shared" ref="M195:M258" si="6">TEXT(B195,"mmm")</f>
        <v>Jan</v>
      </c>
      <c r="N195">
        <f t="shared" ref="N195:N258" si="7">YEAR(B195)</f>
        <v>2025</v>
      </c>
    </row>
    <row r="196" spans="1:14" x14ac:dyDescent="0.3">
      <c r="A196" t="s">
        <v>412</v>
      </c>
      <c r="B196" s="5">
        <v>45804</v>
      </c>
      <c r="C196" t="s">
        <v>37</v>
      </c>
      <c r="D196" t="s">
        <v>38</v>
      </c>
      <c r="E196" t="s">
        <v>52</v>
      </c>
      <c r="F196" t="s">
        <v>46</v>
      </c>
      <c r="G196" t="s">
        <v>87</v>
      </c>
      <c r="H196" t="s">
        <v>88</v>
      </c>
      <c r="I196">
        <v>69928</v>
      </c>
      <c r="J196">
        <v>5</v>
      </c>
      <c r="K196" t="s">
        <v>28</v>
      </c>
      <c r="L196">
        <v>9342.7000000000007</v>
      </c>
      <c r="M196" t="str">
        <f t="shared" si="6"/>
        <v>May</v>
      </c>
      <c r="N196">
        <f t="shared" si="7"/>
        <v>2025</v>
      </c>
    </row>
    <row r="197" spans="1:14" x14ac:dyDescent="0.3">
      <c r="A197" t="s">
        <v>414</v>
      </c>
      <c r="B197" s="5">
        <v>45816</v>
      </c>
      <c r="C197" t="s">
        <v>72</v>
      </c>
      <c r="D197" t="s">
        <v>32</v>
      </c>
      <c r="E197" t="s">
        <v>116</v>
      </c>
      <c r="F197" t="s">
        <v>46</v>
      </c>
      <c r="G197" t="s">
        <v>94</v>
      </c>
      <c r="H197" t="s">
        <v>95</v>
      </c>
      <c r="I197">
        <v>38589</v>
      </c>
      <c r="J197">
        <v>5</v>
      </c>
      <c r="K197" t="s">
        <v>53</v>
      </c>
      <c r="L197">
        <v>6358.95</v>
      </c>
      <c r="M197" t="str">
        <f t="shared" si="6"/>
        <v>Jun</v>
      </c>
      <c r="N197">
        <f t="shared" si="7"/>
        <v>2025</v>
      </c>
    </row>
    <row r="198" spans="1:14" x14ac:dyDescent="0.3">
      <c r="A198" t="s">
        <v>415</v>
      </c>
      <c r="B198" s="5">
        <v>45919</v>
      </c>
      <c r="C198" t="s">
        <v>66</v>
      </c>
      <c r="D198" t="s">
        <v>38</v>
      </c>
      <c r="E198" t="s">
        <v>67</v>
      </c>
      <c r="F198" t="s">
        <v>17</v>
      </c>
      <c r="G198" t="s">
        <v>104</v>
      </c>
      <c r="H198" t="s">
        <v>105</v>
      </c>
      <c r="I198">
        <v>1167</v>
      </c>
      <c r="J198">
        <v>8</v>
      </c>
      <c r="K198" t="s">
        <v>28</v>
      </c>
      <c r="L198">
        <v>123.38</v>
      </c>
      <c r="M198" t="str">
        <f t="shared" si="6"/>
        <v>Sep</v>
      </c>
      <c r="N198">
        <f t="shared" si="7"/>
        <v>2025</v>
      </c>
    </row>
    <row r="199" spans="1:14" x14ac:dyDescent="0.3">
      <c r="A199" t="s">
        <v>417</v>
      </c>
      <c r="B199" s="5">
        <v>45872</v>
      </c>
      <c r="C199" t="s">
        <v>31</v>
      </c>
      <c r="D199" t="s">
        <v>23</v>
      </c>
      <c r="E199" t="s">
        <v>82</v>
      </c>
      <c r="F199" t="s">
        <v>25</v>
      </c>
      <c r="G199" t="s">
        <v>26</v>
      </c>
      <c r="H199" t="s">
        <v>27</v>
      </c>
      <c r="I199">
        <v>53293</v>
      </c>
      <c r="J199">
        <v>2</v>
      </c>
      <c r="K199" t="s">
        <v>20</v>
      </c>
      <c r="L199">
        <v>11037.01</v>
      </c>
      <c r="M199" t="str">
        <f t="shared" si="6"/>
        <v>Aug</v>
      </c>
      <c r="N199">
        <f t="shared" si="7"/>
        <v>2025</v>
      </c>
    </row>
    <row r="200" spans="1:14" x14ac:dyDescent="0.3">
      <c r="A200" t="s">
        <v>418</v>
      </c>
      <c r="B200" s="5">
        <v>45919</v>
      </c>
      <c r="C200" t="s">
        <v>91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68474</v>
      </c>
      <c r="J200">
        <v>3</v>
      </c>
      <c r="K200" t="s">
        <v>20</v>
      </c>
      <c r="L200">
        <v>16138.03</v>
      </c>
      <c r="M200" t="str">
        <f t="shared" si="6"/>
        <v>Sep</v>
      </c>
      <c r="N200">
        <f t="shared" si="7"/>
        <v>2025</v>
      </c>
    </row>
    <row r="201" spans="1:14" x14ac:dyDescent="0.3">
      <c r="A201" t="s">
        <v>419</v>
      </c>
      <c r="B201" s="5">
        <v>45873</v>
      </c>
      <c r="C201" t="s">
        <v>66</v>
      </c>
      <c r="D201" t="s">
        <v>15</v>
      </c>
      <c r="E201" t="s">
        <v>16</v>
      </c>
      <c r="F201" t="s">
        <v>46</v>
      </c>
      <c r="G201" t="s">
        <v>87</v>
      </c>
      <c r="H201" t="s">
        <v>88</v>
      </c>
      <c r="I201">
        <v>27197</v>
      </c>
      <c r="J201">
        <v>7</v>
      </c>
      <c r="K201" t="s">
        <v>49</v>
      </c>
      <c r="L201">
        <v>5866.1</v>
      </c>
      <c r="M201" t="str">
        <f t="shared" si="6"/>
        <v>Aug</v>
      </c>
      <c r="N201">
        <f t="shared" si="7"/>
        <v>2025</v>
      </c>
    </row>
    <row r="202" spans="1:14" x14ac:dyDescent="0.3">
      <c r="A202" t="s">
        <v>421</v>
      </c>
      <c r="B202" s="5">
        <v>45970</v>
      </c>
      <c r="C202" t="s">
        <v>66</v>
      </c>
      <c r="D202" t="s">
        <v>23</v>
      </c>
      <c r="E202" t="s">
        <v>129</v>
      </c>
      <c r="F202" t="s">
        <v>25</v>
      </c>
      <c r="G202" t="s">
        <v>26</v>
      </c>
      <c r="H202" t="s">
        <v>27</v>
      </c>
      <c r="I202">
        <v>29771</v>
      </c>
      <c r="J202">
        <v>1</v>
      </c>
      <c r="K202" t="s">
        <v>53</v>
      </c>
      <c r="L202">
        <v>2910.49</v>
      </c>
      <c r="M202" t="str">
        <f t="shared" si="6"/>
        <v>Nov</v>
      </c>
      <c r="N202">
        <f t="shared" si="7"/>
        <v>2025</v>
      </c>
    </row>
    <row r="203" spans="1:14" x14ac:dyDescent="0.3">
      <c r="A203" t="s">
        <v>422</v>
      </c>
      <c r="B203" s="5">
        <v>45946</v>
      </c>
      <c r="C203" t="s">
        <v>121</v>
      </c>
      <c r="D203" t="s">
        <v>15</v>
      </c>
      <c r="E203" t="s">
        <v>73</v>
      </c>
      <c r="F203" t="s">
        <v>17</v>
      </c>
      <c r="G203" t="s">
        <v>104</v>
      </c>
      <c r="H203" t="s">
        <v>105</v>
      </c>
      <c r="I203">
        <v>39479</v>
      </c>
      <c r="J203">
        <v>7</v>
      </c>
      <c r="K203" t="s">
        <v>53</v>
      </c>
      <c r="L203">
        <v>7247.87</v>
      </c>
      <c r="M203" t="str">
        <f t="shared" si="6"/>
        <v>Oct</v>
      </c>
      <c r="N203">
        <f t="shared" si="7"/>
        <v>2025</v>
      </c>
    </row>
    <row r="204" spans="1:14" x14ac:dyDescent="0.3">
      <c r="A204" t="s">
        <v>424</v>
      </c>
      <c r="B204" s="5">
        <v>45859</v>
      </c>
      <c r="C204" t="s">
        <v>91</v>
      </c>
      <c r="D204" t="s">
        <v>15</v>
      </c>
      <c r="E204" t="s">
        <v>154</v>
      </c>
      <c r="F204" t="s">
        <v>25</v>
      </c>
      <c r="G204" t="s">
        <v>26</v>
      </c>
      <c r="H204" t="s">
        <v>27</v>
      </c>
      <c r="I204">
        <v>51557</v>
      </c>
      <c r="J204">
        <v>6</v>
      </c>
      <c r="K204" t="s">
        <v>49</v>
      </c>
      <c r="L204">
        <v>7906.34</v>
      </c>
      <c r="M204" t="str">
        <f t="shared" si="6"/>
        <v>Jul</v>
      </c>
      <c r="N204">
        <f t="shared" si="7"/>
        <v>2025</v>
      </c>
    </row>
    <row r="205" spans="1:14" x14ac:dyDescent="0.3">
      <c r="A205" t="s">
        <v>425</v>
      </c>
      <c r="B205" s="5">
        <v>45941</v>
      </c>
      <c r="C205" t="s">
        <v>121</v>
      </c>
      <c r="D205" t="s">
        <v>38</v>
      </c>
      <c r="E205" t="s">
        <v>67</v>
      </c>
      <c r="F205" t="s">
        <v>17</v>
      </c>
      <c r="G205" t="s">
        <v>104</v>
      </c>
      <c r="H205" t="s">
        <v>105</v>
      </c>
      <c r="I205">
        <v>32191</v>
      </c>
      <c r="J205">
        <v>8</v>
      </c>
      <c r="K205" t="s">
        <v>53</v>
      </c>
      <c r="L205">
        <v>4966.68</v>
      </c>
      <c r="M205" t="str">
        <f t="shared" si="6"/>
        <v>Oct</v>
      </c>
      <c r="N205">
        <f t="shared" si="7"/>
        <v>2025</v>
      </c>
    </row>
    <row r="206" spans="1:14" x14ac:dyDescent="0.3">
      <c r="A206" t="s">
        <v>427</v>
      </c>
      <c r="B206" s="5">
        <v>45923</v>
      </c>
      <c r="C206" t="s">
        <v>91</v>
      </c>
      <c r="D206" t="s">
        <v>15</v>
      </c>
      <c r="E206" t="s">
        <v>16</v>
      </c>
      <c r="F206" t="s">
        <v>46</v>
      </c>
      <c r="G206" t="s">
        <v>47</v>
      </c>
      <c r="H206" t="s">
        <v>48</v>
      </c>
      <c r="I206">
        <v>19464</v>
      </c>
      <c r="J206">
        <v>2</v>
      </c>
      <c r="K206" t="s">
        <v>49</v>
      </c>
      <c r="L206">
        <v>4784.8500000000004</v>
      </c>
      <c r="M206" t="str">
        <f t="shared" si="6"/>
        <v>Sep</v>
      </c>
      <c r="N206">
        <f t="shared" si="7"/>
        <v>2025</v>
      </c>
    </row>
    <row r="207" spans="1:14" x14ac:dyDescent="0.3">
      <c r="A207" t="s">
        <v>428</v>
      </c>
      <c r="B207" s="5">
        <v>45939</v>
      </c>
      <c r="C207" t="s">
        <v>63</v>
      </c>
      <c r="D207" t="s">
        <v>38</v>
      </c>
      <c r="E207" t="s">
        <v>52</v>
      </c>
      <c r="F207" t="s">
        <v>17</v>
      </c>
      <c r="G207" t="s">
        <v>76</v>
      </c>
      <c r="H207" t="s">
        <v>77</v>
      </c>
      <c r="I207">
        <v>41224</v>
      </c>
      <c r="J207">
        <v>2</v>
      </c>
      <c r="K207" t="s">
        <v>34</v>
      </c>
      <c r="L207">
        <v>4745.42</v>
      </c>
      <c r="M207" t="str">
        <f t="shared" si="6"/>
        <v>Oct</v>
      </c>
      <c r="N207">
        <f t="shared" si="7"/>
        <v>2025</v>
      </c>
    </row>
    <row r="208" spans="1:14" x14ac:dyDescent="0.3">
      <c r="A208" t="s">
        <v>429</v>
      </c>
      <c r="B208" s="5">
        <v>45731</v>
      </c>
      <c r="C208" t="s">
        <v>121</v>
      </c>
      <c r="D208" t="s">
        <v>23</v>
      </c>
      <c r="E208" t="s">
        <v>24</v>
      </c>
      <c r="F208" t="s">
        <v>17</v>
      </c>
      <c r="G208" t="s">
        <v>18</v>
      </c>
      <c r="H208" t="s">
        <v>19</v>
      </c>
      <c r="I208">
        <v>45696</v>
      </c>
      <c r="J208">
        <v>3</v>
      </c>
      <c r="K208" t="s">
        <v>20</v>
      </c>
      <c r="L208">
        <v>10236.31</v>
      </c>
      <c r="M208" t="str">
        <f t="shared" si="6"/>
        <v>Mar</v>
      </c>
      <c r="N208">
        <f t="shared" si="7"/>
        <v>2025</v>
      </c>
    </row>
    <row r="209" spans="1:14" x14ac:dyDescent="0.3">
      <c r="A209" t="s">
        <v>431</v>
      </c>
      <c r="B209" s="5">
        <v>45846</v>
      </c>
      <c r="C209" t="s">
        <v>56</v>
      </c>
      <c r="D209" t="s">
        <v>15</v>
      </c>
      <c r="E209" t="s">
        <v>16</v>
      </c>
      <c r="F209" t="s">
        <v>25</v>
      </c>
      <c r="G209" t="s">
        <v>57</v>
      </c>
      <c r="H209" t="s">
        <v>58</v>
      </c>
      <c r="I209">
        <v>41690</v>
      </c>
      <c r="J209">
        <v>8</v>
      </c>
      <c r="K209" t="s">
        <v>49</v>
      </c>
      <c r="L209">
        <v>9045.8700000000008</v>
      </c>
      <c r="M209" t="str">
        <f t="shared" si="6"/>
        <v>Jul</v>
      </c>
      <c r="N209">
        <f t="shared" si="7"/>
        <v>2025</v>
      </c>
    </row>
    <row r="210" spans="1:14" x14ac:dyDescent="0.3">
      <c r="A210" t="s">
        <v>432</v>
      </c>
      <c r="B210" s="5">
        <v>45871</v>
      </c>
      <c r="C210" t="s">
        <v>37</v>
      </c>
      <c r="D210" t="s">
        <v>15</v>
      </c>
      <c r="E210" t="s">
        <v>16</v>
      </c>
      <c r="F210" t="s">
        <v>46</v>
      </c>
      <c r="G210" t="s">
        <v>87</v>
      </c>
      <c r="H210" t="s">
        <v>88</v>
      </c>
      <c r="I210">
        <v>69457</v>
      </c>
      <c r="J210">
        <v>9</v>
      </c>
      <c r="K210" t="s">
        <v>34</v>
      </c>
      <c r="L210">
        <v>10512.2</v>
      </c>
      <c r="M210" t="str">
        <f t="shared" si="6"/>
        <v>Aug</v>
      </c>
      <c r="N210">
        <f t="shared" si="7"/>
        <v>2025</v>
      </c>
    </row>
    <row r="211" spans="1:14" x14ac:dyDescent="0.3">
      <c r="A211" t="s">
        <v>434</v>
      </c>
      <c r="B211" s="5">
        <v>45860</v>
      </c>
      <c r="C211" t="s">
        <v>72</v>
      </c>
      <c r="D211" t="s">
        <v>15</v>
      </c>
      <c r="E211" t="s">
        <v>73</v>
      </c>
      <c r="F211" t="s">
        <v>25</v>
      </c>
      <c r="G211" t="s">
        <v>57</v>
      </c>
      <c r="H211" t="s">
        <v>58</v>
      </c>
      <c r="I211">
        <v>60281</v>
      </c>
      <c r="J211">
        <v>4</v>
      </c>
      <c r="K211" t="s">
        <v>28</v>
      </c>
      <c r="L211">
        <v>15409.69</v>
      </c>
      <c r="M211" t="str">
        <f t="shared" si="6"/>
        <v>Jul</v>
      </c>
      <c r="N211">
        <f t="shared" si="7"/>
        <v>2025</v>
      </c>
    </row>
    <row r="212" spans="1:14" x14ac:dyDescent="0.3">
      <c r="A212" t="s">
        <v>435</v>
      </c>
      <c r="B212" s="5">
        <v>45715</v>
      </c>
      <c r="C212" t="s">
        <v>56</v>
      </c>
      <c r="D212" t="s">
        <v>38</v>
      </c>
      <c r="E212" t="s">
        <v>52</v>
      </c>
      <c r="F212" t="s">
        <v>25</v>
      </c>
      <c r="G212" t="s">
        <v>26</v>
      </c>
      <c r="H212" t="s">
        <v>27</v>
      </c>
      <c r="I212">
        <v>66068</v>
      </c>
      <c r="J212">
        <v>9</v>
      </c>
      <c r="K212" t="s">
        <v>28</v>
      </c>
      <c r="L212">
        <v>14629.47</v>
      </c>
      <c r="M212" t="str">
        <f t="shared" si="6"/>
        <v>Feb</v>
      </c>
      <c r="N212">
        <f t="shared" si="7"/>
        <v>2025</v>
      </c>
    </row>
    <row r="213" spans="1:14" x14ac:dyDescent="0.3">
      <c r="A213" t="s">
        <v>436</v>
      </c>
      <c r="B213" s="5">
        <v>45848</v>
      </c>
      <c r="C213" t="s">
        <v>56</v>
      </c>
      <c r="D213" t="s">
        <v>15</v>
      </c>
      <c r="E213" t="s">
        <v>16</v>
      </c>
      <c r="F213" t="s">
        <v>46</v>
      </c>
      <c r="G213" t="s">
        <v>87</v>
      </c>
      <c r="H213" t="s">
        <v>88</v>
      </c>
      <c r="I213">
        <v>53800</v>
      </c>
      <c r="J213">
        <v>1</v>
      </c>
      <c r="K213" t="s">
        <v>53</v>
      </c>
      <c r="L213">
        <v>6838.32</v>
      </c>
      <c r="M213" t="str">
        <f t="shared" si="6"/>
        <v>Jul</v>
      </c>
      <c r="N213">
        <f t="shared" si="7"/>
        <v>2025</v>
      </c>
    </row>
    <row r="214" spans="1:14" x14ac:dyDescent="0.3">
      <c r="A214" t="s">
        <v>438</v>
      </c>
      <c r="B214" s="5">
        <v>45797</v>
      </c>
      <c r="C214" t="s">
        <v>72</v>
      </c>
      <c r="D214" t="s">
        <v>23</v>
      </c>
      <c r="E214" t="s">
        <v>24</v>
      </c>
      <c r="F214" t="s">
        <v>46</v>
      </c>
      <c r="G214" t="s">
        <v>87</v>
      </c>
      <c r="H214" t="s">
        <v>88</v>
      </c>
      <c r="I214">
        <v>31512</v>
      </c>
      <c r="J214">
        <v>10</v>
      </c>
      <c r="K214" t="s">
        <v>53</v>
      </c>
      <c r="L214">
        <v>8433.5300000000007</v>
      </c>
      <c r="M214" t="str">
        <f t="shared" si="6"/>
        <v>May</v>
      </c>
      <c r="N214">
        <f t="shared" si="7"/>
        <v>2025</v>
      </c>
    </row>
    <row r="215" spans="1:14" x14ac:dyDescent="0.3">
      <c r="A215" t="s">
        <v>440</v>
      </c>
      <c r="B215" s="5">
        <v>45705</v>
      </c>
      <c r="C215" t="s">
        <v>121</v>
      </c>
      <c r="D215" t="s">
        <v>38</v>
      </c>
      <c r="E215" t="s">
        <v>39</v>
      </c>
      <c r="F215" t="s">
        <v>46</v>
      </c>
      <c r="G215" t="s">
        <v>87</v>
      </c>
      <c r="H215" t="s">
        <v>88</v>
      </c>
      <c r="I215">
        <v>2511</v>
      </c>
      <c r="J215">
        <v>3</v>
      </c>
      <c r="K215" t="s">
        <v>20</v>
      </c>
      <c r="L215">
        <v>521.12</v>
      </c>
      <c r="M215" t="str">
        <f t="shared" si="6"/>
        <v>Feb</v>
      </c>
      <c r="N215">
        <f t="shared" si="7"/>
        <v>2025</v>
      </c>
    </row>
    <row r="216" spans="1:14" x14ac:dyDescent="0.3">
      <c r="A216" t="s">
        <v>441</v>
      </c>
      <c r="B216" s="5">
        <v>45974</v>
      </c>
      <c r="C216" t="s">
        <v>31</v>
      </c>
      <c r="D216" t="s">
        <v>38</v>
      </c>
      <c r="E216" t="s">
        <v>39</v>
      </c>
      <c r="F216" t="s">
        <v>25</v>
      </c>
      <c r="G216" t="s">
        <v>57</v>
      </c>
      <c r="H216" t="s">
        <v>58</v>
      </c>
      <c r="I216">
        <v>71051</v>
      </c>
      <c r="J216">
        <v>2</v>
      </c>
      <c r="K216" t="s">
        <v>34</v>
      </c>
      <c r="L216">
        <v>10108.81</v>
      </c>
      <c r="M216" t="str">
        <f t="shared" si="6"/>
        <v>Nov</v>
      </c>
      <c r="N216">
        <f t="shared" si="7"/>
        <v>2025</v>
      </c>
    </row>
    <row r="217" spans="1:14" x14ac:dyDescent="0.3">
      <c r="A217" t="s">
        <v>442</v>
      </c>
      <c r="B217" s="5">
        <v>45837</v>
      </c>
      <c r="C217" t="s">
        <v>37</v>
      </c>
      <c r="D217" t="s">
        <v>32</v>
      </c>
      <c r="E217" t="s">
        <v>45</v>
      </c>
      <c r="F217" t="s">
        <v>17</v>
      </c>
      <c r="G217" t="s">
        <v>76</v>
      </c>
      <c r="H217" t="s">
        <v>77</v>
      </c>
      <c r="I217">
        <v>79054</v>
      </c>
      <c r="J217">
        <v>6</v>
      </c>
      <c r="K217" t="s">
        <v>49</v>
      </c>
      <c r="L217">
        <v>20547.46</v>
      </c>
      <c r="M217" t="str">
        <f t="shared" si="6"/>
        <v>Jun</v>
      </c>
      <c r="N217">
        <f t="shared" si="7"/>
        <v>2025</v>
      </c>
    </row>
    <row r="218" spans="1:14" x14ac:dyDescent="0.3">
      <c r="A218" t="s">
        <v>444</v>
      </c>
      <c r="B218" s="5">
        <v>45773</v>
      </c>
      <c r="C218" t="s">
        <v>14</v>
      </c>
      <c r="D218" t="s">
        <v>23</v>
      </c>
      <c r="E218" t="s">
        <v>24</v>
      </c>
      <c r="F218" t="s">
        <v>46</v>
      </c>
      <c r="G218" t="s">
        <v>94</v>
      </c>
      <c r="H218" t="s">
        <v>95</v>
      </c>
      <c r="I218">
        <v>75767</v>
      </c>
      <c r="J218">
        <v>7</v>
      </c>
      <c r="K218" t="s">
        <v>20</v>
      </c>
      <c r="L218">
        <v>15383.4</v>
      </c>
      <c r="M218" t="str">
        <f t="shared" si="6"/>
        <v>Apr</v>
      </c>
      <c r="N218">
        <f t="shared" si="7"/>
        <v>2025</v>
      </c>
    </row>
    <row r="219" spans="1:14" x14ac:dyDescent="0.3">
      <c r="A219" t="s">
        <v>446</v>
      </c>
      <c r="B219" s="5">
        <v>45819</v>
      </c>
      <c r="C219" t="s">
        <v>72</v>
      </c>
      <c r="D219" t="s">
        <v>15</v>
      </c>
      <c r="E219" t="s">
        <v>16</v>
      </c>
      <c r="F219" t="s">
        <v>25</v>
      </c>
      <c r="G219" t="s">
        <v>26</v>
      </c>
      <c r="H219" t="s">
        <v>27</v>
      </c>
      <c r="I219">
        <v>2066</v>
      </c>
      <c r="J219">
        <v>4</v>
      </c>
      <c r="K219" t="s">
        <v>20</v>
      </c>
      <c r="L219">
        <v>279.69</v>
      </c>
      <c r="M219" t="str">
        <f t="shared" si="6"/>
        <v>Jun</v>
      </c>
      <c r="N219">
        <f t="shared" si="7"/>
        <v>2025</v>
      </c>
    </row>
    <row r="220" spans="1:14" x14ac:dyDescent="0.3">
      <c r="A220" t="s">
        <v>448</v>
      </c>
      <c r="B220" s="5">
        <v>45789</v>
      </c>
      <c r="C220" t="s">
        <v>44</v>
      </c>
      <c r="D220" t="s">
        <v>15</v>
      </c>
      <c r="E220" t="s">
        <v>16</v>
      </c>
      <c r="F220" t="s">
        <v>17</v>
      </c>
      <c r="G220" t="s">
        <v>76</v>
      </c>
      <c r="H220" t="s">
        <v>77</v>
      </c>
      <c r="I220">
        <v>31688</v>
      </c>
      <c r="J220">
        <v>5</v>
      </c>
      <c r="K220" t="s">
        <v>34</v>
      </c>
      <c r="L220">
        <v>4987.55</v>
      </c>
      <c r="M220" t="str">
        <f t="shared" si="6"/>
        <v>May</v>
      </c>
      <c r="N220">
        <f t="shared" si="7"/>
        <v>2025</v>
      </c>
    </row>
    <row r="221" spans="1:14" x14ac:dyDescent="0.3">
      <c r="A221" t="s">
        <v>449</v>
      </c>
      <c r="B221" s="5">
        <v>45918</v>
      </c>
      <c r="C221" t="s">
        <v>72</v>
      </c>
      <c r="D221" t="s">
        <v>32</v>
      </c>
      <c r="E221" t="s">
        <v>45</v>
      </c>
      <c r="F221" t="s">
        <v>46</v>
      </c>
      <c r="G221" t="s">
        <v>87</v>
      </c>
      <c r="H221" t="s">
        <v>88</v>
      </c>
      <c r="I221">
        <v>41843</v>
      </c>
      <c r="J221">
        <v>10</v>
      </c>
      <c r="K221" t="s">
        <v>49</v>
      </c>
      <c r="L221">
        <v>7459.79</v>
      </c>
      <c r="M221" t="str">
        <f t="shared" si="6"/>
        <v>Sep</v>
      </c>
      <c r="N221">
        <f t="shared" si="7"/>
        <v>2025</v>
      </c>
    </row>
    <row r="222" spans="1:14" x14ac:dyDescent="0.3">
      <c r="A222" t="s">
        <v>451</v>
      </c>
      <c r="B222" s="5">
        <v>45989</v>
      </c>
      <c r="C222" t="s">
        <v>121</v>
      </c>
      <c r="D222" t="s">
        <v>32</v>
      </c>
      <c r="E222" t="s">
        <v>116</v>
      </c>
      <c r="F222" t="s">
        <v>46</v>
      </c>
      <c r="G222" t="s">
        <v>94</v>
      </c>
      <c r="H222" t="s">
        <v>95</v>
      </c>
      <c r="I222">
        <v>69387</v>
      </c>
      <c r="J222">
        <v>10</v>
      </c>
      <c r="K222" t="s">
        <v>28</v>
      </c>
      <c r="L222">
        <v>8831.82</v>
      </c>
      <c r="M222" t="str">
        <f t="shared" si="6"/>
        <v>Nov</v>
      </c>
      <c r="N222">
        <f t="shared" si="7"/>
        <v>2025</v>
      </c>
    </row>
    <row r="223" spans="1:14" x14ac:dyDescent="0.3">
      <c r="A223" t="s">
        <v>452</v>
      </c>
      <c r="B223" s="5">
        <v>45920</v>
      </c>
      <c r="C223" t="s">
        <v>31</v>
      </c>
      <c r="D223" t="s">
        <v>15</v>
      </c>
      <c r="E223" t="s">
        <v>73</v>
      </c>
      <c r="F223" t="s">
        <v>17</v>
      </c>
      <c r="G223" t="s">
        <v>104</v>
      </c>
      <c r="H223" t="s">
        <v>105</v>
      </c>
      <c r="I223">
        <v>52750</v>
      </c>
      <c r="J223">
        <v>8</v>
      </c>
      <c r="K223" t="s">
        <v>49</v>
      </c>
      <c r="L223">
        <v>12030.81</v>
      </c>
      <c r="M223" t="str">
        <f t="shared" si="6"/>
        <v>Sep</v>
      </c>
      <c r="N223">
        <f t="shared" si="7"/>
        <v>2025</v>
      </c>
    </row>
    <row r="224" spans="1:14" x14ac:dyDescent="0.3">
      <c r="A224" t="s">
        <v>454</v>
      </c>
      <c r="B224" s="5">
        <v>45978</v>
      </c>
      <c r="C224" t="s">
        <v>66</v>
      </c>
      <c r="D224" t="s">
        <v>38</v>
      </c>
      <c r="E224" t="s">
        <v>52</v>
      </c>
      <c r="F224" t="s">
        <v>46</v>
      </c>
      <c r="G224" t="s">
        <v>47</v>
      </c>
      <c r="H224" t="s">
        <v>48</v>
      </c>
      <c r="I224">
        <v>73997</v>
      </c>
      <c r="J224">
        <v>8</v>
      </c>
      <c r="K224" t="s">
        <v>34</v>
      </c>
      <c r="L224">
        <v>16570.29</v>
      </c>
      <c r="M224" t="str">
        <f t="shared" si="6"/>
        <v>Nov</v>
      </c>
      <c r="N224">
        <f t="shared" si="7"/>
        <v>2025</v>
      </c>
    </row>
    <row r="225" spans="1:14" x14ac:dyDescent="0.3">
      <c r="A225" t="s">
        <v>455</v>
      </c>
      <c r="B225" s="5">
        <v>45913</v>
      </c>
      <c r="C225" t="s">
        <v>72</v>
      </c>
      <c r="D225" t="s">
        <v>32</v>
      </c>
      <c r="E225" t="s">
        <v>45</v>
      </c>
      <c r="F225" t="s">
        <v>17</v>
      </c>
      <c r="G225" t="s">
        <v>76</v>
      </c>
      <c r="H225" t="s">
        <v>77</v>
      </c>
      <c r="I225">
        <v>45202</v>
      </c>
      <c r="J225">
        <v>10</v>
      </c>
      <c r="K225" t="s">
        <v>20</v>
      </c>
      <c r="L225">
        <v>7158.64</v>
      </c>
      <c r="M225" t="str">
        <f t="shared" si="6"/>
        <v>Sep</v>
      </c>
      <c r="N225">
        <f t="shared" si="7"/>
        <v>2025</v>
      </c>
    </row>
    <row r="226" spans="1:14" x14ac:dyDescent="0.3">
      <c r="A226" t="s">
        <v>457</v>
      </c>
      <c r="B226" s="5">
        <v>45767</v>
      </c>
      <c r="C226" t="s">
        <v>66</v>
      </c>
      <c r="D226" t="s">
        <v>38</v>
      </c>
      <c r="E226" t="s">
        <v>52</v>
      </c>
      <c r="F226" t="s">
        <v>25</v>
      </c>
      <c r="G226" t="s">
        <v>40</v>
      </c>
      <c r="H226" t="s">
        <v>41</v>
      </c>
      <c r="I226">
        <v>3476</v>
      </c>
      <c r="J226">
        <v>8</v>
      </c>
      <c r="K226" t="s">
        <v>28</v>
      </c>
      <c r="L226">
        <v>372.93</v>
      </c>
      <c r="M226" t="str">
        <f t="shared" si="6"/>
        <v>Apr</v>
      </c>
      <c r="N226">
        <f t="shared" si="7"/>
        <v>2025</v>
      </c>
    </row>
    <row r="227" spans="1:14" x14ac:dyDescent="0.3">
      <c r="A227" t="s">
        <v>458</v>
      </c>
      <c r="B227" s="5">
        <v>45888</v>
      </c>
      <c r="C227" t="s">
        <v>121</v>
      </c>
      <c r="D227" t="s">
        <v>23</v>
      </c>
      <c r="E227" t="s">
        <v>24</v>
      </c>
      <c r="F227" t="s">
        <v>25</v>
      </c>
      <c r="G227" t="s">
        <v>26</v>
      </c>
      <c r="H227" t="s">
        <v>27</v>
      </c>
      <c r="I227">
        <v>61204</v>
      </c>
      <c r="J227">
        <v>6</v>
      </c>
      <c r="K227" t="s">
        <v>20</v>
      </c>
      <c r="L227">
        <v>10686.46</v>
      </c>
      <c r="M227" t="str">
        <f t="shared" si="6"/>
        <v>Aug</v>
      </c>
      <c r="N227">
        <f t="shared" si="7"/>
        <v>2025</v>
      </c>
    </row>
    <row r="228" spans="1:14" x14ac:dyDescent="0.3">
      <c r="A228" t="s">
        <v>459</v>
      </c>
      <c r="B228" s="5">
        <v>45945</v>
      </c>
      <c r="C228" t="s">
        <v>66</v>
      </c>
      <c r="D228" t="s">
        <v>15</v>
      </c>
      <c r="E228" t="s">
        <v>154</v>
      </c>
      <c r="F228" t="s">
        <v>25</v>
      </c>
      <c r="G228" t="s">
        <v>40</v>
      </c>
      <c r="H228" t="s">
        <v>41</v>
      </c>
      <c r="I228">
        <v>13187</v>
      </c>
      <c r="J228">
        <v>1</v>
      </c>
      <c r="K228" t="s">
        <v>34</v>
      </c>
      <c r="L228">
        <v>2333.14</v>
      </c>
      <c r="M228" t="str">
        <f t="shared" si="6"/>
        <v>Oct</v>
      </c>
      <c r="N228">
        <f t="shared" si="7"/>
        <v>2025</v>
      </c>
    </row>
    <row r="229" spans="1:14" x14ac:dyDescent="0.3">
      <c r="A229" t="s">
        <v>461</v>
      </c>
      <c r="B229" s="5">
        <v>45955</v>
      </c>
      <c r="C229" t="s">
        <v>63</v>
      </c>
      <c r="D229" t="s">
        <v>38</v>
      </c>
      <c r="E229" t="s">
        <v>39</v>
      </c>
      <c r="F229" t="s">
        <v>17</v>
      </c>
      <c r="G229" t="s">
        <v>104</v>
      </c>
      <c r="H229" t="s">
        <v>105</v>
      </c>
      <c r="I229">
        <v>69005</v>
      </c>
      <c r="J229">
        <v>8</v>
      </c>
      <c r="K229" t="s">
        <v>28</v>
      </c>
      <c r="L229">
        <v>7924.46</v>
      </c>
      <c r="M229" t="str">
        <f t="shared" si="6"/>
        <v>Oct</v>
      </c>
      <c r="N229">
        <f t="shared" si="7"/>
        <v>2025</v>
      </c>
    </row>
    <row r="230" spans="1:14" x14ac:dyDescent="0.3">
      <c r="A230" t="s">
        <v>462</v>
      </c>
      <c r="B230" s="5">
        <v>45828</v>
      </c>
      <c r="C230" t="s">
        <v>63</v>
      </c>
      <c r="D230" t="s">
        <v>15</v>
      </c>
      <c r="E230" t="s">
        <v>16</v>
      </c>
      <c r="F230" t="s">
        <v>25</v>
      </c>
      <c r="G230" t="s">
        <v>40</v>
      </c>
      <c r="H230" t="s">
        <v>41</v>
      </c>
      <c r="I230">
        <v>6433</v>
      </c>
      <c r="J230">
        <v>5</v>
      </c>
      <c r="K230" t="s">
        <v>34</v>
      </c>
      <c r="L230">
        <v>497.9</v>
      </c>
      <c r="M230" t="str">
        <f t="shared" si="6"/>
        <v>Jun</v>
      </c>
      <c r="N230">
        <f t="shared" si="7"/>
        <v>2025</v>
      </c>
    </row>
    <row r="231" spans="1:14" x14ac:dyDescent="0.3">
      <c r="A231" t="s">
        <v>463</v>
      </c>
      <c r="B231" s="5">
        <v>45789</v>
      </c>
      <c r="C231" t="s">
        <v>31</v>
      </c>
      <c r="D231" t="s">
        <v>15</v>
      </c>
      <c r="E231" t="s">
        <v>154</v>
      </c>
      <c r="F231" t="s">
        <v>46</v>
      </c>
      <c r="G231" t="s">
        <v>94</v>
      </c>
      <c r="H231" t="s">
        <v>95</v>
      </c>
      <c r="I231">
        <v>40084</v>
      </c>
      <c r="J231">
        <v>5</v>
      </c>
      <c r="K231" t="s">
        <v>34</v>
      </c>
      <c r="L231">
        <v>8302.6</v>
      </c>
      <c r="M231" t="str">
        <f t="shared" si="6"/>
        <v>May</v>
      </c>
      <c r="N231">
        <f t="shared" si="7"/>
        <v>2025</v>
      </c>
    </row>
    <row r="232" spans="1:14" x14ac:dyDescent="0.3">
      <c r="A232" t="s">
        <v>464</v>
      </c>
      <c r="B232" s="5">
        <v>45915</v>
      </c>
      <c r="C232" t="s">
        <v>14</v>
      </c>
      <c r="D232" t="s">
        <v>23</v>
      </c>
      <c r="E232" t="s">
        <v>129</v>
      </c>
      <c r="F232" t="s">
        <v>25</v>
      </c>
      <c r="G232" t="s">
        <v>40</v>
      </c>
      <c r="H232" t="s">
        <v>41</v>
      </c>
      <c r="I232">
        <v>46415</v>
      </c>
      <c r="J232">
        <v>1</v>
      </c>
      <c r="K232" t="s">
        <v>20</v>
      </c>
      <c r="L232">
        <v>11074.2</v>
      </c>
      <c r="M232" t="str">
        <f t="shared" si="6"/>
        <v>Sep</v>
      </c>
      <c r="N232">
        <f t="shared" si="7"/>
        <v>2025</v>
      </c>
    </row>
    <row r="233" spans="1:14" x14ac:dyDescent="0.3">
      <c r="A233" t="s">
        <v>466</v>
      </c>
      <c r="B233" s="5">
        <v>46003</v>
      </c>
      <c r="C233" t="s">
        <v>91</v>
      </c>
      <c r="D233" t="s">
        <v>32</v>
      </c>
      <c r="E233" t="s">
        <v>116</v>
      </c>
      <c r="F233" t="s">
        <v>25</v>
      </c>
      <c r="G233" t="s">
        <v>40</v>
      </c>
      <c r="H233" t="s">
        <v>41</v>
      </c>
      <c r="I233">
        <v>3692</v>
      </c>
      <c r="J233">
        <v>5</v>
      </c>
      <c r="K233" t="s">
        <v>28</v>
      </c>
      <c r="L233">
        <v>941.67</v>
      </c>
      <c r="M233" t="str">
        <f t="shared" si="6"/>
        <v>Dec</v>
      </c>
      <c r="N233">
        <f t="shared" si="7"/>
        <v>2025</v>
      </c>
    </row>
    <row r="234" spans="1:14" x14ac:dyDescent="0.3">
      <c r="A234" t="s">
        <v>467</v>
      </c>
      <c r="B234" s="5">
        <v>45766</v>
      </c>
      <c r="C234" t="s">
        <v>44</v>
      </c>
      <c r="D234" t="s">
        <v>23</v>
      </c>
      <c r="E234" t="s">
        <v>82</v>
      </c>
      <c r="F234" t="s">
        <v>46</v>
      </c>
      <c r="G234" t="s">
        <v>87</v>
      </c>
      <c r="H234" t="s">
        <v>88</v>
      </c>
      <c r="I234">
        <v>78618</v>
      </c>
      <c r="J234">
        <v>5</v>
      </c>
      <c r="K234" t="s">
        <v>49</v>
      </c>
      <c r="L234">
        <v>10103.39</v>
      </c>
      <c r="M234" t="str">
        <f t="shared" si="6"/>
        <v>Apr</v>
      </c>
      <c r="N234">
        <f t="shared" si="7"/>
        <v>2025</v>
      </c>
    </row>
    <row r="235" spans="1:14" x14ac:dyDescent="0.3">
      <c r="A235" t="s">
        <v>469</v>
      </c>
      <c r="B235" s="5">
        <v>45712</v>
      </c>
      <c r="C235" t="s">
        <v>66</v>
      </c>
      <c r="D235" t="s">
        <v>15</v>
      </c>
      <c r="E235" t="s">
        <v>16</v>
      </c>
      <c r="F235" t="s">
        <v>17</v>
      </c>
      <c r="G235" t="s">
        <v>76</v>
      </c>
      <c r="H235" t="s">
        <v>77</v>
      </c>
      <c r="I235">
        <v>40219</v>
      </c>
      <c r="J235">
        <v>4</v>
      </c>
      <c r="K235" t="s">
        <v>28</v>
      </c>
      <c r="L235">
        <v>9636.3700000000008</v>
      </c>
      <c r="M235" t="str">
        <f t="shared" si="6"/>
        <v>Feb</v>
      </c>
      <c r="N235">
        <f t="shared" si="7"/>
        <v>2025</v>
      </c>
    </row>
    <row r="236" spans="1:14" x14ac:dyDescent="0.3">
      <c r="A236" t="s">
        <v>471</v>
      </c>
      <c r="B236" s="5">
        <v>45675</v>
      </c>
      <c r="C236" t="s">
        <v>44</v>
      </c>
      <c r="D236" t="s">
        <v>32</v>
      </c>
      <c r="E236" t="s">
        <v>33</v>
      </c>
      <c r="F236" t="s">
        <v>46</v>
      </c>
      <c r="G236" t="s">
        <v>87</v>
      </c>
      <c r="H236" t="s">
        <v>88</v>
      </c>
      <c r="I236">
        <v>22769</v>
      </c>
      <c r="J236">
        <v>1</v>
      </c>
      <c r="K236" t="s">
        <v>34</v>
      </c>
      <c r="L236">
        <v>3822.24</v>
      </c>
      <c r="M236" t="str">
        <f t="shared" si="6"/>
        <v>Jan</v>
      </c>
      <c r="N236">
        <f t="shared" si="7"/>
        <v>2025</v>
      </c>
    </row>
    <row r="237" spans="1:14" x14ac:dyDescent="0.3">
      <c r="A237" t="s">
        <v>473</v>
      </c>
      <c r="B237" s="5">
        <v>45793</v>
      </c>
      <c r="C237" t="s">
        <v>121</v>
      </c>
      <c r="D237" t="s">
        <v>38</v>
      </c>
      <c r="E237" t="s">
        <v>67</v>
      </c>
      <c r="F237" t="s">
        <v>46</v>
      </c>
      <c r="G237" t="s">
        <v>47</v>
      </c>
      <c r="H237" t="s">
        <v>48</v>
      </c>
      <c r="I237">
        <v>1894</v>
      </c>
      <c r="J237">
        <v>8</v>
      </c>
      <c r="K237" t="s">
        <v>20</v>
      </c>
      <c r="L237">
        <v>344.51</v>
      </c>
      <c r="M237" t="str">
        <f t="shared" si="6"/>
        <v>May</v>
      </c>
      <c r="N237">
        <f t="shared" si="7"/>
        <v>2025</v>
      </c>
    </row>
    <row r="238" spans="1:14" x14ac:dyDescent="0.3">
      <c r="A238" t="s">
        <v>474</v>
      </c>
      <c r="B238" s="5">
        <v>46012</v>
      </c>
      <c r="C238" t="s">
        <v>121</v>
      </c>
      <c r="D238" t="s">
        <v>23</v>
      </c>
      <c r="E238" t="s">
        <v>129</v>
      </c>
      <c r="F238" t="s">
        <v>25</v>
      </c>
      <c r="G238" t="s">
        <v>40</v>
      </c>
      <c r="H238" t="s">
        <v>41</v>
      </c>
      <c r="I238">
        <v>59400</v>
      </c>
      <c r="J238">
        <v>2</v>
      </c>
      <c r="K238" t="s">
        <v>49</v>
      </c>
      <c r="L238">
        <v>16236.37</v>
      </c>
      <c r="M238" t="str">
        <f t="shared" si="6"/>
        <v>Dec</v>
      </c>
      <c r="N238">
        <f t="shared" si="7"/>
        <v>2025</v>
      </c>
    </row>
    <row r="239" spans="1:14" x14ac:dyDescent="0.3">
      <c r="A239" t="s">
        <v>476</v>
      </c>
      <c r="B239" s="5">
        <v>45675</v>
      </c>
      <c r="C239" t="s">
        <v>37</v>
      </c>
      <c r="D239" t="s">
        <v>23</v>
      </c>
      <c r="E239" t="s">
        <v>24</v>
      </c>
      <c r="F239" t="s">
        <v>46</v>
      </c>
      <c r="G239" t="s">
        <v>94</v>
      </c>
      <c r="H239" t="s">
        <v>95</v>
      </c>
      <c r="I239">
        <v>46827</v>
      </c>
      <c r="J239">
        <v>7</v>
      </c>
      <c r="K239" t="s">
        <v>20</v>
      </c>
      <c r="L239">
        <v>7014.11</v>
      </c>
      <c r="M239" t="str">
        <f t="shared" si="6"/>
        <v>Jan</v>
      </c>
      <c r="N239">
        <f t="shared" si="7"/>
        <v>2025</v>
      </c>
    </row>
    <row r="240" spans="1:14" x14ac:dyDescent="0.3">
      <c r="A240" t="s">
        <v>477</v>
      </c>
      <c r="B240" s="5">
        <v>45759</v>
      </c>
      <c r="C240" t="s">
        <v>14</v>
      </c>
      <c r="D240" t="s">
        <v>15</v>
      </c>
      <c r="E240" t="s">
        <v>73</v>
      </c>
      <c r="F240" t="s">
        <v>46</v>
      </c>
      <c r="G240" t="s">
        <v>94</v>
      </c>
      <c r="H240" t="s">
        <v>95</v>
      </c>
      <c r="I240">
        <v>59664</v>
      </c>
      <c r="J240">
        <v>7</v>
      </c>
      <c r="K240" t="s">
        <v>53</v>
      </c>
      <c r="L240">
        <v>7631.66</v>
      </c>
      <c r="M240" t="str">
        <f t="shared" si="6"/>
        <v>Apr</v>
      </c>
      <c r="N240">
        <f t="shared" si="7"/>
        <v>2025</v>
      </c>
    </row>
    <row r="241" spans="1:14" x14ac:dyDescent="0.3">
      <c r="A241" t="s">
        <v>479</v>
      </c>
      <c r="B241" s="5">
        <v>45713</v>
      </c>
      <c r="C241" t="s">
        <v>31</v>
      </c>
      <c r="D241" t="s">
        <v>23</v>
      </c>
      <c r="E241" t="s">
        <v>129</v>
      </c>
      <c r="F241" t="s">
        <v>46</v>
      </c>
      <c r="G241" t="s">
        <v>87</v>
      </c>
      <c r="H241" t="s">
        <v>88</v>
      </c>
      <c r="I241">
        <v>21580</v>
      </c>
      <c r="J241">
        <v>9</v>
      </c>
      <c r="K241" t="s">
        <v>53</v>
      </c>
      <c r="L241">
        <v>5160.9399999999996</v>
      </c>
      <c r="M241" t="str">
        <f t="shared" si="6"/>
        <v>Feb</v>
      </c>
      <c r="N241">
        <f t="shared" si="7"/>
        <v>2025</v>
      </c>
    </row>
    <row r="242" spans="1:14" x14ac:dyDescent="0.3">
      <c r="A242" t="s">
        <v>481</v>
      </c>
      <c r="B242" s="5">
        <v>45710</v>
      </c>
      <c r="C242" t="s">
        <v>66</v>
      </c>
      <c r="D242" t="s">
        <v>38</v>
      </c>
      <c r="E242" t="s">
        <v>39</v>
      </c>
      <c r="F242" t="s">
        <v>46</v>
      </c>
      <c r="G242" t="s">
        <v>87</v>
      </c>
      <c r="H242" t="s">
        <v>88</v>
      </c>
      <c r="I242">
        <v>840</v>
      </c>
      <c r="J242">
        <v>9</v>
      </c>
      <c r="K242" t="s">
        <v>28</v>
      </c>
      <c r="L242">
        <v>217.46</v>
      </c>
      <c r="M242" t="str">
        <f t="shared" si="6"/>
        <v>Feb</v>
      </c>
      <c r="N242">
        <f t="shared" si="7"/>
        <v>2025</v>
      </c>
    </row>
    <row r="243" spans="1:14" x14ac:dyDescent="0.3">
      <c r="A243" t="s">
        <v>482</v>
      </c>
      <c r="B243" s="5">
        <v>45882</v>
      </c>
      <c r="C243" t="s">
        <v>37</v>
      </c>
      <c r="D243" t="s">
        <v>15</v>
      </c>
      <c r="E243" t="s">
        <v>154</v>
      </c>
      <c r="F243" t="s">
        <v>25</v>
      </c>
      <c r="G243" t="s">
        <v>57</v>
      </c>
      <c r="H243" t="s">
        <v>58</v>
      </c>
      <c r="I243">
        <v>13862</v>
      </c>
      <c r="J243">
        <v>4</v>
      </c>
      <c r="K243" t="s">
        <v>49</v>
      </c>
      <c r="L243">
        <v>1154.81</v>
      </c>
      <c r="M243" t="str">
        <f t="shared" si="6"/>
        <v>Aug</v>
      </c>
      <c r="N243">
        <f t="shared" si="7"/>
        <v>2025</v>
      </c>
    </row>
    <row r="244" spans="1:14" x14ac:dyDescent="0.3">
      <c r="A244" t="s">
        <v>483</v>
      </c>
      <c r="B244" s="5">
        <v>45782</v>
      </c>
      <c r="C244" t="s">
        <v>37</v>
      </c>
      <c r="D244" t="s">
        <v>15</v>
      </c>
      <c r="E244" t="s">
        <v>16</v>
      </c>
      <c r="F244" t="s">
        <v>46</v>
      </c>
      <c r="G244" t="s">
        <v>87</v>
      </c>
      <c r="H244" t="s">
        <v>88</v>
      </c>
      <c r="I244">
        <v>7052</v>
      </c>
      <c r="J244">
        <v>9</v>
      </c>
      <c r="K244" t="s">
        <v>49</v>
      </c>
      <c r="L244">
        <v>1355.78</v>
      </c>
      <c r="M244" t="str">
        <f t="shared" si="6"/>
        <v>May</v>
      </c>
      <c r="N244">
        <f t="shared" si="7"/>
        <v>2025</v>
      </c>
    </row>
    <row r="245" spans="1:14" x14ac:dyDescent="0.3">
      <c r="A245" t="s">
        <v>484</v>
      </c>
      <c r="B245" s="5">
        <v>45702</v>
      </c>
      <c r="C245" t="s">
        <v>72</v>
      </c>
      <c r="D245" t="s">
        <v>15</v>
      </c>
      <c r="E245" t="s">
        <v>73</v>
      </c>
      <c r="F245" t="s">
        <v>17</v>
      </c>
      <c r="G245" t="s">
        <v>18</v>
      </c>
      <c r="H245" t="s">
        <v>19</v>
      </c>
      <c r="I245">
        <v>10999</v>
      </c>
      <c r="J245">
        <v>9</v>
      </c>
      <c r="K245" t="s">
        <v>28</v>
      </c>
      <c r="L245">
        <v>1591.75</v>
      </c>
      <c r="M245" t="str">
        <f t="shared" si="6"/>
        <v>Feb</v>
      </c>
      <c r="N245">
        <f t="shared" si="7"/>
        <v>2025</v>
      </c>
    </row>
    <row r="246" spans="1:14" x14ac:dyDescent="0.3">
      <c r="A246" t="s">
        <v>486</v>
      </c>
      <c r="B246" s="5">
        <v>45699</v>
      </c>
      <c r="C246" t="s">
        <v>121</v>
      </c>
      <c r="D246" t="s">
        <v>15</v>
      </c>
      <c r="E246" t="s">
        <v>154</v>
      </c>
      <c r="F246" t="s">
        <v>46</v>
      </c>
      <c r="G246" t="s">
        <v>87</v>
      </c>
      <c r="H246" t="s">
        <v>88</v>
      </c>
      <c r="I246">
        <v>11703</v>
      </c>
      <c r="J246">
        <v>7</v>
      </c>
      <c r="K246" t="s">
        <v>28</v>
      </c>
      <c r="L246">
        <v>2587.79</v>
      </c>
      <c r="M246" t="str">
        <f t="shared" si="6"/>
        <v>Feb</v>
      </c>
      <c r="N246">
        <f t="shared" si="7"/>
        <v>2025</v>
      </c>
    </row>
    <row r="247" spans="1:14" x14ac:dyDescent="0.3">
      <c r="A247" t="s">
        <v>488</v>
      </c>
      <c r="B247" s="5">
        <v>45727</v>
      </c>
      <c r="C247" t="s">
        <v>44</v>
      </c>
      <c r="D247" t="s">
        <v>15</v>
      </c>
      <c r="E247" t="s">
        <v>154</v>
      </c>
      <c r="F247" t="s">
        <v>17</v>
      </c>
      <c r="G247" t="s">
        <v>18</v>
      </c>
      <c r="H247" t="s">
        <v>19</v>
      </c>
      <c r="I247">
        <v>51460</v>
      </c>
      <c r="J247">
        <v>7</v>
      </c>
      <c r="K247" t="s">
        <v>20</v>
      </c>
      <c r="L247">
        <v>8124.45</v>
      </c>
      <c r="M247" t="str">
        <f t="shared" si="6"/>
        <v>Mar</v>
      </c>
      <c r="N247">
        <f t="shared" si="7"/>
        <v>2025</v>
      </c>
    </row>
    <row r="248" spans="1:14" x14ac:dyDescent="0.3">
      <c r="A248" t="s">
        <v>490</v>
      </c>
      <c r="B248" s="5">
        <v>45841</v>
      </c>
      <c r="C248" t="s">
        <v>37</v>
      </c>
      <c r="D248" t="s">
        <v>38</v>
      </c>
      <c r="E248" t="s">
        <v>52</v>
      </c>
      <c r="F248" t="s">
        <v>46</v>
      </c>
      <c r="G248" t="s">
        <v>47</v>
      </c>
      <c r="H248" t="s">
        <v>48</v>
      </c>
      <c r="I248">
        <v>47189</v>
      </c>
      <c r="J248">
        <v>6</v>
      </c>
      <c r="K248" t="s">
        <v>28</v>
      </c>
      <c r="L248">
        <v>11827.54</v>
      </c>
      <c r="M248" t="str">
        <f t="shared" si="6"/>
        <v>Jul</v>
      </c>
      <c r="N248">
        <f t="shared" si="7"/>
        <v>2025</v>
      </c>
    </row>
    <row r="249" spans="1:14" x14ac:dyDescent="0.3">
      <c r="A249" t="s">
        <v>492</v>
      </c>
      <c r="B249" s="5">
        <v>46006</v>
      </c>
      <c r="C249" t="s">
        <v>72</v>
      </c>
      <c r="D249" t="s">
        <v>23</v>
      </c>
      <c r="E249" t="s">
        <v>24</v>
      </c>
      <c r="F249" t="s">
        <v>17</v>
      </c>
      <c r="G249" t="s">
        <v>18</v>
      </c>
      <c r="H249" t="s">
        <v>19</v>
      </c>
      <c r="I249">
        <v>16134</v>
      </c>
      <c r="J249">
        <v>8</v>
      </c>
      <c r="K249" t="s">
        <v>34</v>
      </c>
      <c r="L249">
        <v>3307.11</v>
      </c>
      <c r="M249" t="str">
        <f t="shared" si="6"/>
        <v>Dec</v>
      </c>
      <c r="N249">
        <f t="shared" si="7"/>
        <v>2025</v>
      </c>
    </row>
    <row r="250" spans="1:14" x14ac:dyDescent="0.3">
      <c r="A250" t="s">
        <v>493</v>
      </c>
      <c r="B250" s="5">
        <v>45985</v>
      </c>
      <c r="C250" t="s">
        <v>63</v>
      </c>
      <c r="D250" t="s">
        <v>38</v>
      </c>
      <c r="E250" t="s">
        <v>39</v>
      </c>
      <c r="F250" t="s">
        <v>25</v>
      </c>
      <c r="G250" t="s">
        <v>40</v>
      </c>
      <c r="H250" t="s">
        <v>41</v>
      </c>
      <c r="I250">
        <v>48619</v>
      </c>
      <c r="J250">
        <v>2</v>
      </c>
      <c r="K250" t="s">
        <v>28</v>
      </c>
      <c r="L250">
        <v>12456.72</v>
      </c>
      <c r="M250" t="str">
        <f t="shared" si="6"/>
        <v>Nov</v>
      </c>
      <c r="N250">
        <f t="shared" si="7"/>
        <v>2025</v>
      </c>
    </row>
    <row r="251" spans="1:14" x14ac:dyDescent="0.3">
      <c r="A251" t="s">
        <v>494</v>
      </c>
      <c r="B251" s="5">
        <v>46016</v>
      </c>
      <c r="C251" t="s">
        <v>31</v>
      </c>
      <c r="D251" t="s">
        <v>32</v>
      </c>
      <c r="E251" t="s">
        <v>33</v>
      </c>
      <c r="F251" t="s">
        <v>25</v>
      </c>
      <c r="G251" t="s">
        <v>57</v>
      </c>
      <c r="H251" t="s">
        <v>58</v>
      </c>
      <c r="I251">
        <v>40953</v>
      </c>
      <c r="J251">
        <v>10</v>
      </c>
      <c r="K251" t="s">
        <v>34</v>
      </c>
      <c r="L251">
        <v>5784.25</v>
      </c>
      <c r="M251" t="str">
        <f t="shared" si="6"/>
        <v>Dec</v>
      </c>
      <c r="N251">
        <f t="shared" si="7"/>
        <v>2025</v>
      </c>
    </row>
    <row r="252" spans="1:14" x14ac:dyDescent="0.3">
      <c r="A252" t="s">
        <v>496</v>
      </c>
      <c r="B252" s="5">
        <v>45999</v>
      </c>
      <c r="C252" t="s">
        <v>66</v>
      </c>
      <c r="D252" t="s">
        <v>38</v>
      </c>
      <c r="E252" t="s">
        <v>39</v>
      </c>
      <c r="F252" t="s">
        <v>25</v>
      </c>
      <c r="G252" t="s">
        <v>40</v>
      </c>
      <c r="H252" t="s">
        <v>41</v>
      </c>
      <c r="I252">
        <v>60590</v>
      </c>
      <c r="J252">
        <v>6</v>
      </c>
      <c r="K252" t="s">
        <v>49</v>
      </c>
      <c r="L252">
        <v>6353.08</v>
      </c>
      <c r="M252" t="str">
        <f t="shared" si="6"/>
        <v>Dec</v>
      </c>
      <c r="N252">
        <f t="shared" si="7"/>
        <v>2025</v>
      </c>
    </row>
    <row r="253" spans="1:14" x14ac:dyDescent="0.3">
      <c r="A253" t="s">
        <v>497</v>
      </c>
      <c r="B253" s="5">
        <v>45723</v>
      </c>
      <c r="C253" t="s">
        <v>44</v>
      </c>
      <c r="D253" t="s">
        <v>23</v>
      </c>
      <c r="E253" t="s">
        <v>82</v>
      </c>
      <c r="F253" t="s">
        <v>17</v>
      </c>
      <c r="G253" t="s">
        <v>18</v>
      </c>
      <c r="H253" t="s">
        <v>19</v>
      </c>
      <c r="I253">
        <v>19399</v>
      </c>
      <c r="J253">
        <v>3</v>
      </c>
      <c r="K253" t="s">
        <v>28</v>
      </c>
      <c r="L253">
        <v>3629.31</v>
      </c>
      <c r="M253" t="str">
        <f t="shared" si="6"/>
        <v>Mar</v>
      </c>
      <c r="N253">
        <f t="shared" si="7"/>
        <v>2025</v>
      </c>
    </row>
    <row r="254" spans="1:14" x14ac:dyDescent="0.3">
      <c r="A254" t="s">
        <v>498</v>
      </c>
      <c r="B254" s="5">
        <v>46009</v>
      </c>
      <c r="C254" t="s">
        <v>37</v>
      </c>
      <c r="D254" t="s">
        <v>15</v>
      </c>
      <c r="E254" t="s">
        <v>154</v>
      </c>
      <c r="F254" t="s">
        <v>25</v>
      </c>
      <c r="G254" t="s">
        <v>40</v>
      </c>
      <c r="H254" t="s">
        <v>41</v>
      </c>
      <c r="I254">
        <v>41967</v>
      </c>
      <c r="J254">
        <v>6</v>
      </c>
      <c r="K254" t="s">
        <v>28</v>
      </c>
      <c r="L254">
        <v>10360.299999999999</v>
      </c>
      <c r="M254" t="str">
        <f t="shared" si="6"/>
        <v>Dec</v>
      </c>
      <c r="N254">
        <f t="shared" si="7"/>
        <v>2025</v>
      </c>
    </row>
    <row r="255" spans="1:14" x14ac:dyDescent="0.3">
      <c r="A255" t="s">
        <v>500</v>
      </c>
      <c r="B255" s="5">
        <v>46019</v>
      </c>
      <c r="C255" t="s">
        <v>66</v>
      </c>
      <c r="D255" t="s">
        <v>38</v>
      </c>
      <c r="E255" t="s">
        <v>67</v>
      </c>
      <c r="F255" t="s">
        <v>25</v>
      </c>
      <c r="G255" t="s">
        <v>57</v>
      </c>
      <c r="H255" t="s">
        <v>58</v>
      </c>
      <c r="I255">
        <v>73159</v>
      </c>
      <c r="J255">
        <v>2</v>
      </c>
      <c r="K255" t="s">
        <v>49</v>
      </c>
      <c r="L255">
        <v>15770.05</v>
      </c>
      <c r="M255" t="str">
        <f t="shared" si="6"/>
        <v>Dec</v>
      </c>
      <c r="N255">
        <f t="shared" si="7"/>
        <v>2025</v>
      </c>
    </row>
    <row r="256" spans="1:14" x14ac:dyDescent="0.3">
      <c r="A256" t="s">
        <v>501</v>
      </c>
      <c r="B256" s="5">
        <v>45795</v>
      </c>
      <c r="C256" t="s">
        <v>37</v>
      </c>
      <c r="D256" t="s">
        <v>23</v>
      </c>
      <c r="E256" t="s">
        <v>24</v>
      </c>
      <c r="F256" t="s">
        <v>17</v>
      </c>
      <c r="G256" t="s">
        <v>76</v>
      </c>
      <c r="H256" t="s">
        <v>77</v>
      </c>
      <c r="I256">
        <v>39098</v>
      </c>
      <c r="J256">
        <v>7</v>
      </c>
      <c r="K256" t="s">
        <v>20</v>
      </c>
      <c r="L256">
        <v>10664.55</v>
      </c>
      <c r="M256" t="str">
        <f t="shared" si="6"/>
        <v>May</v>
      </c>
      <c r="N256">
        <f t="shared" si="7"/>
        <v>2025</v>
      </c>
    </row>
    <row r="257" spans="1:14" x14ac:dyDescent="0.3">
      <c r="A257" t="s">
        <v>503</v>
      </c>
      <c r="B257" s="5">
        <v>45904</v>
      </c>
      <c r="C257" t="s">
        <v>14</v>
      </c>
      <c r="D257" t="s">
        <v>32</v>
      </c>
      <c r="E257" t="s">
        <v>33</v>
      </c>
      <c r="F257" t="s">
        <v>46</v>
      </c>
      <c r="G257" t="s">
        <v>94</v>
      </c>
      <c r="H257" t="s">
        <v>95</v>
      </c>
      <c r="I257">
        <v>54733</v>
      </c>
      <c r="J257">
        <v>2</v>
      </c>
      <c r="K257" t="s">
        <v>28</v>
      </c>
      <c r="L257">
        <v>10590.14</v>
      </c>
      <c r="M257" t="str">
        <f t="shared" si="6"/>
        <v>Sep</v>
      </c>
      <c r="N257">
        <f t="shared" si="7"/>
        <v>2025</v>
      </c>
    </row>
    <row r="258" spans="1:14" x14ac:dyDescent="0.3">
      <c r="A258" t="s">
        <v>505</v>
      </c>
      <c r="B258" s="5">
        <v>45952</v>
      </c>
      <c r="C258" t="s">
        <v>44</v>
      </c>
      <c r="D258" t="s">
        <v>15</v>
      </c>
      <c r="E258" t="s">
        <v>73</v>
      </c>
      <c r="F258" t="s">
        <v>17</v>
      </c>
      <c r="G258" t="s">
        <v>76</v>
      </c>
      <c r="H258" t="s">
        <v>77</v>
      </c>
      <c r="I258">
        <v>1991</v>
      </c>
      <c r="J258">
        <v>4</v>
      </c>
      <c r="K258" t="s">
        <v>53</v>
      </c>
      <c r="L258">
        <v>395.02</v>
      </c>
      <c r="M258" t="str">
        <f t="shared" si="6"/>
        <v>Oct</v>
      </c>
      <c r="N258">
        <f t="shared" si="7"/>
        <v>2025</v>
      </c>
    </row>
    <row r="259" spans="1:14" x14ac:dyDescent="0.3">
      <c r="A259" t="s">
        <v>507</v>
      </c>
      <c r="B259" s="5">
        <v>45924</v>
      </c>
      <c r="C259" t="s">
        <v>91</v>
      </c>
      <c r="D259" t="s">
        <v>32</v>
      </c>
      <c r="E259" t="s">
        <v>33</v>
      </c>
      <c r="F259" t="s">
        <v>46</v>
      </c>
      <c r="G259" t="s">
        <v>47</v>
      </c>
      <c r="H259" t="s">
        <v>48</v>
      </c>
      <c r="I259">
        <v>9971</v>
      </c>
      <c r="J259">
        <v>3</v>
      </c>
      <c r="K259" t="s">
        <v>49</v>
      </c>
      <c r="L259">
        <v>2662.62</v>
      </c>
      <c r="M259" t="str">
        <f t="shared" ref="M259:M322" si="8">TEXT(B259,"mmm")</f>
        <v>Sep</v>
      </c>
      <c r="N259">
        <f t="shared" ref="N259:N322" si="9">YEAR(B259)</f>
        <v>2025</v>
      </c>
    </row>
    <row r="260" spans="1:14" x14ac:dyDescent="0.3">
      <c r="A260" t="s">
        <v>509</v>
      </c>
      <c r="B260" s="5">
        <v>45850</v>
      </c>
      <c r="C260" t="s">
        <v>31</v>
      </c>
      <c r="D260" t="s">
        <v>38</v>
      </c>
      <c r="E260" t="s">
        <v>67</v>
      </c>
      <c r="F260" t="s">
        <v>25</v>
      </c>
      <c r="G260" t="s">
        <v>26</v>
      </c>
      <c r="H260" t="s">
        <v>27</v>
      </c>
      <c r="I260">
        <v>37711</v>
      </c>
      <c r="J260">
        <v>2</v>
      </c>
      <c r="K260" t="s">
        <v>28</v>
      </c>
      <c r="L260">
        <v>9699.7000000000007</v>
      </c>
      <c r="M260" t="str">
        <f t="shared" si="8"/>
        <v>Jul</v>
      </c>
      <c r="N260">
        <f t="shared" si="9"/>
        <v>2025</v>
      </c>
    </row>
    <row r="261" spans="1:14" x14ac:dyDescent="0.3">
      <c r="A261" t="s">
        <v>511</v>
      </c>
      <c r="B261" s="5">
        <v>45867</v>
      </c>
      <c r="C261" t="s">
        <v>44</v>
      </c>
      <c r="D261" t="s">
        <v>23</v>
      </c>
      <c r="E261" t="s">
        <v>24</v>
      </c>
      <c r="F261" t="s">
        <v>25</v>
      </c>
      <c r="G261" t="s">
        <v>26</v>
      </c>
      <c r="H261" t="s">
        <v>27</v>
      </c>
      <c r="I261">
        <v>11657</v>
      </c>
      <c r="J261">
        <v>10</v>
      </c>
      <c r="K261" t="s">
        <v>49</v>
      </c>
      <c r="L261">
        <v>1314.64</v>
      </c>
      <c r="M261" t="str">
        <f t="shared" si="8"/>
        <v>Jul</v>
      </c>
      <c r="N261">
        <f t="shared" si="9"/>
        <v>2025</v>
      </c>
    </row>
    <row r="262" spans="1:14" x14ac:dyDescent="0.3">
      <c r="A262" t="s">
        <v>513</v>
      </c>
      <c r="B262" s="5">
        <v>45884</v>
      </c>
      <c r="C262" t="s">
        <v>31</v>
      </c>
      <c r="D262" t="s">
        <v>23</v>
      </c>
      <c r="E262" t="s">
        <v>24</v>
      </c>
      <c r="F262" t="s">
        <v>17</v>
      </c>
      <c r="G262" t="s">
        <v>76</v>
      </c>
      <c r="H262" t="s">
        <v>77</v>
      </c>
      <c r="I262">
        <v>18997</v>
      </c>
      <c r="J262">
        <v>8</v>
      </c>
      <c r="K262" t="s">
        <v>20</v>
      </c>
      <c r="L262">
        <v>2436.65</v>
      </c>
      <c r="M262" t="str">
        <f t="shared" si="8"/>
        <v>Aug</v>
      </c>
      <c r="N262">
        <f t="shared" si="9"/>
        <v>2025</v>
      </c>
    </row>
    <row r="263" spans="1:14" x14ac:dyDescent="0.3">
      <c r="A263" t="s">
        <v>515</v>
      </c>
      <c r="B263" s="5">
        <v>45953</v>
      </c>
      <c r="C263" t="s">
        <v>121</v>
      </c>
      <c r="D263" t="s">
        <v>32</v>
      </c>
      <c r="E263" t="s">
        <v>33</v>
      </c>
      <c r="F263" t="s">
        <v>17</v>
      </c>
      <c r="G263" t="s">
        <v>18</v>
      </c>
      <c r="H263" t="s">
        <v>19</v>
      </c>
      <c r="I263">
        <v>71807</v>
      </c>
      <c r="J263">
        <v>8</v>
      </c>
      <c r="K263" t="s">
        <v>49</v>
      </c>
      <c r="L263">
        <v>16692.8</v>
      </c>
      <c r="M263" t="str">
        <f t="shared" si="8"/>
        <v>Oct</v>
      </c>
      <c r="N263">
        <f t="shared" si="9"/>
        <v>2025</v>
      </c>
    </row>
    <row r="264" spans="1:14" x14ac:dyDescent="0.3">
      <c r="A264" t="s">
        <v>517</v>
      </c>
      <c r="B264" s="5">
        <v>45887</v>
      </c>
      <c r="C264" t="s">
        <v>63</v>
      </c>
      <c r="D264" t="s">
        <v>32</v>
      </c>
      <c r="E264" t="s">
        <v>33</v>
      </c>
      <c r="F264" t="s">
        <v>17</v>
      </c>
      <c r="G264" t="s">
        <v>104</v>
      </c>
      <c r="H264" t="s">
        <v>105</v>
      </c>
      <c r="I264">
        <v>48363</v>
      </c>
      <c r="J264">
        <v>10</v>
      </c>
      <c r="K264" t="s">
        <v>53</v>
      </c>
      <c r="L264">
        <v>11740.48</v>
      </c>
      <c r="M264" t="str">
        <f t="shared" si="8"/>
        <v>Aug</v>
      </c>
      <c r="N264">
        <f t="shared" si="9"/>
        <v>2025</v>
      </c>
    </row>
    <row r="265" spans="1:14" x14ac:dyDescent="0.3">
      <c r="A265" t="s">
        <v>519</v>
      </c>
      <c r="B265" s="5">
        <v>45807</v>
      </c>
      <c r="C265" t="s">
        <v>91</v>
      </c>
      <c r="D265" t="s">
        <v>15</v>
      </c>
      <c r="E265" t="s">
        <v>16</v>
      </c>
      <c r="F265" t="s">
        <v>17</v>
      </c>
      <c r="G265" t="s">
        <v>104</v>
      </c>
      <c r="H265" t="s">
        <v>105</v>
      </c>
      <c r="I265">
        <v>37905</v>
      </c>
      <c r="J265">
        <v>9</v>
      </c>
      <c r="K265" t="s">
        <v>20</v>
      </c>
      <c r="L265">
        <v>5254.61</v>
      </c>
      <c r="M265" t="str">
        <f t="shared" si="8"/>
        <v>May</v>
      </c>
      <c r="N265">
        <f t="shared" si="9"/>
        <v>2025</v>
      </c>
    </row>
    <row r="266" spans="1:14" x14ac:dyDescent="0.3">
      <c r="A266" t="s">
        <v>520</v>
      </c>
      <c r="B266" s="5">
        <v>45939</v>
      </c>
      <c r="C266" t="s">
        <v>44</v>
      </c>
      <c r="D266" t="s">
        <v>15</v>
      </c>
      <c r="E266" t="s">
        <v>16</v>
      </c>
      <c r="F266" t="s">
        <v>46</v>
      </c>
      <c r="G266" t="s">
        <v>47</v>
      </c>
      <c r="H266" t="s">
        <v>48</v>
      </c>
      <c r="I266">
        <v>38534</v>
      </c>
      <c r="J266">
        <v>3</v>
      </c>
      <c r="K266" t="s">
        <v>20</v>
      </c>
      <c r="L266">
        <v>9074.24</v>
      </c>
      <c r="M266" t="str">
        <f t="shared" si="8"/>
        <v>Oct</v>
      </c>
      <c r="N266">
        <f t="shared" si="9"/>
        <v>2025</v>
      </c>
    </row>
    <row r="267" spans="1:14" x14ac:dyDescent="0.3">
      <c r="A267" t="s">
        <v>521</v>
      </c>
      <c r="B267" s="5">
        <v>45729</v>
      </c>
      <c r="C267" t="s">
        <v>56</v>
      </c>
      <c r="D267" t="s">
        <v>23</v>
      </c>
      <c r="E267" t="s">
        <v>82</v>
      </c>
      <c r="F267" t="s">
        <v>46</v>
      </c>
      <c r="G267" t="s">
        <v>94</v>
      </c>
      <c r="H267" t="s">
        <v>95</v>
      </c>
      <c r="I267">
        <v>4474</v>
      </c>
      <c r="J267">
        <v>7</v>
      </c>
      <c r="K267" t="s">
        <v>20</v>
      </c>
      <c r="L267">
        <v>609.74</v>
      </c>
      <c r="M267" t="str">
        <f t="shared" si="8"/>
        <v>Mar</v>
      </c>
      <c r="N267">
        <f t="shared" si="9"/>
        <v>2025</v>
      </c>
    </row>
    <row r="268" spans="1:14" x14ac:dyDescent="0.3">
      <c r="A268" t="s">
        <v>522</v>
      </c>
      <c r="B268" s="5">
        <v>46000</v>
      </c>
      <c r="C268" t="s">
        <v>91</v>
      </c>
      <c r="D268" t="s">
        <v>32</v>
      </c>
      <c r="E268" t="s">
        <v>33</v>
      </c>
      <c r="F268" t="s">
        <v>25</v>
      </c>
      <c r="G268" t="s">
        <v>40</v>
      </c>
      <c r="H268" t="s">
        <v>41</v>
      </c>
      <c r="I268">
        <v>48872</v>
      </c>
      <c r="J268">
        <v>10</v>
      </c>
      <c r="K268" t="s">
        <v>28</v>
      </c>
      <c r="L268">
        <v>3825.78</v>
      </c>
      <c r="M268" t="str">
        <f t="shared" si="8"/>
        <v>Dec</v>
      </c>
      <c r="N268">
        <f t="shared" si="9"/>
        <v>2025</v>
      </c>
    </row>
    <row r="269" spans="1:14" x14ac:dyDescent="0.3">
      <c r="A269" t="s">
        <v>524</v>
      </c>
      <c r="B269" s="5">
        <v>45756</v>
      </c>
      <c r="C269" t="s">
        <v>66</v>
      </c>
      <c r="D269" t="s">
        <v>38</v>
      </c>
      <c r="E269" t="s">
        <v>67</v>
      </c>
      <c r="F269" t="s">
        <v>17</v>
      </c>
      <c r="G269" t="s">
        <v>104</v>
      </c>
      <c r="H269" t="s">
        <v>105</v>
      </c>
      <c r="I269">
        <v>31003</v>
      </c>
      <c r="J269">
        <v>6</v>
      </c>
      <c r="K269" t="s">
        <v>20</v>
      </c>
      <c r="L269">
        <v>4251.22</v>
      </c>
      <c r="M269" t="str">
        <f t="shared" si="8"/>
        <v>Apr</v>
      </c>
      <c r="N269">
        <f t="shared" si="9"/>
        <v>2025</v>
      </c>
    </row>
    <row r="270" spans="1:14" x14ac:dyDescent="0.3">
      <c r="A270" t="s">
        <v>525</v>
      </c>
      <c r="B270" s="5">
        <v>45846</v>
      </c>
      <c r="C270" t="s">
        <v>66</v>
      </c>
      <c r="D270" t="s">
        <v>32</v>
      </c>
      <c r="E270" t="s">
        <v>45</v>
      </c>
      <c r="F270" t="s">
        <v>25</v>
      </c>
      <c r="G270" t="s">
        <v>57</v>
      </c>
      <c r="H270" t="s">
        <v>58</v>
      </c>
      <c r="I270">
        <v>61191</v>
      </c>
      <c r="J270">
        <v>10</v>
      </c>
      <c r="K270" t="s">
        <v>34</v>
      </c>
      <c r="L270">
        <v>7061.67</v>
      </c>
      <c r="M270" t="str">
        <f t="shared" si="8"/>
        <v>Jul</v>
      </c>
      <c r="N270">
        <f t="shared" si="9"/>
        <v>2025</v>
      </c>
    </row>
    <row r="271" spans="1:14" x14ac:dyDescent="0.3">
      <c r="A271" t="s">
        <v>526</v>
      </c>
      <c r="B271" s="5">
        <v>45763</v>
      </c>
      <c r="C271" t="s">
        <v>63</v>
      </c>
      <c r="D271" t="s">
        <v>23</v>
      </c>
      <c r="E271" t="s">
        <v>82</v>
      </c>
      <c r="F271" t="s">
        <v>17</v>
      </c>
      <c r="G271" t="s">
        <v>18</v>
      </c>
      <c r="H271" t="s">
        <v>19</v>
      </c>
      <c r="I271">
        <v>55158</v>
      </c>
      <c r="J271">
        <v>3</v>
      </c>
      <c r="K271" t="s">
        <v>49</v>
      </c>
      <c r="L271">
        <v>10832.6</v>
      </c>
      <c r="M271" t="str">
        <f t="shared" si="8"/>
        <v>Apr</v>
      </c>
      <c r="N271">
        <f t="shared" si="9"/>
        <v>2025</v>
      </c>
    </row>
    <row r="272" spans="1:14" x14ac:dyDescent="0.3">
      <c r="A272" t="s">
        <v>527</v>
      </c>
      <c r="B272" s="5">
        <v>46021</v>
      </c>
      <c r="C272" t="s">
        <v>91</v>
      </c>
      <c r="D272" t="s">
        <v>23</v>
      </c>
      <c r="E272" t="s">
        <v>24</v>
      </c>
      <c r="F272" t="s">
        <v>46</v>
      </c>
      <c r="G272" t="s">
        <v>87</v>
      </c>
      <c r="H272" t="s">
        <v>88</v>
      </c>
      <c r="I272">
        <v>2010</v>
      </c>
      <c r="J272">
        <v>2</v>
      </c>
      <c r="K272" t="s">
        <v>28</v>
      </c>
      <c r="L272">
        <v>487.76</v>
      </c>
      <c r="M272" t="str">
        <f t="shared" si="8"/>
        <v>Dec</v>
      </c>
      <c r="N272">
        <f t="shared" si="9"/>
        <v>2025</v>
      </c>
    </row>
    <row r="273" spans="1:14" x14ac:dyDescent="0.3">
      <c r="A273" t="s">
        <v>528</v>
      </c>
      <c r="B273" s="5">
        <v>45868</v>
      </c>
      <c r="C273" t="s">
        <v>91</v>
      </c>
      <c r="D273" t="s">
        <v>38</v>
      </c>
      <c r="E273" t="s">
        <v>39</v>
      </c>
      <c r="F273" t="s">
        <v>25</v>
      </c>
      <c r="G273" t="s">
        <v>26</v>
      </c>
      <c r="H273" t="s">
        <v>27</v>
      </c>
      <c r="I273">
        <v>33677</v>
      </c>
      <c r="J273">
        <v>5</v>
      </c>
      <c r="K273" t="s">
        <v>49</v>
      </c>
      <c r="L273">
        <v>4246.97</v>
      </c>
      <c r="M273" t="str">
        <f t="shared" si="8"/>
        <v>Jul</v>
      </c>
      <c r="N273">
        <f t="shared" si="9"/>
        <v>2025</v>
      </c>
    </row>
    <row r="274" spans="1:14" x14ac:dyDescent="0.3">
      <c r="A274" t="s">
        <v>529</v>
      </c>
      <c r="B274" s="5">
        <v>45913</v>
      </c>
      <c r="C274" t="s">
        <v>121</v>
      </c>
      <c r="D274" t="s">
        <v>23</v>
      </c>
      <c r="E274" t="s">
        <v>129</v>
      </c>
      <c r="F274" t="s">
        <v>25</v>
      </c>
      <c r="G274" t="s">
        <v>57</v>
      </c>
      <c r="H274" t="s">
        <v>58</v>
      </c>
      <c r="I274">
        <v>42340</v>
      </c>
      <c r="J274">
        <v>4</v>
      </c>
      <c r="K274" t="s">
        <v>34</v>
      </c>
      <c r="L274">
        <v>4274.75</v>
      </c>
      <c r="M274" t="str">
        <f t="shared" si="8"/>
        <v>Sep</v>
      </c>
      <c r="N274">
        <f t="shared" si="9"/>
        <v>2025</v>
      </c>
    </row>
    <row r="275" spans="1:14" x14ac:dyDescent="0.3">
      <c r="A275" t="s">
        <v>530</v>
      </c>
      <c r="B275" s="5">
        <v>46009</v>
      </c>
      <c r="C275" t="s">
        <v>66</v>
      </c>
      <c r="D275" t="s">
        <v>32</v>
      </c>
      <c r="E275" t="s">
        <v>116</v>
      </c>
      <c r="F275" t="s">
        <v>17</v>
      </c>
      <c r="G275" t="s">
        <v>76</v>
      </c>
      <c r="H275" t="s">
        <v>77</v>
      </c>
      <c r="I275">
        <v>38873</v>
      </c>
      <c r="J275">
        <v>1</v>
      </c>
      <c r="K275" t="s">
        <v>49</v>
      </c>
      <c r="L275">
        <v>9707.02</v>
      </c>
      <c r="M275" t="str">
        <f t="shared" si="8"/>
        <v>Dec</v>
      </c>
      <c r="N275">
        <f t="shared" si="9"/>
        <v>2025</v>
      </c>
    </row>
    <row r="276" spans="1:14" x14ac:dyDescent="0.3">
      <c r="A276" t="s">
        <v>531</v>
      </c>
      <c r="B276" s="5">
        <v>45788</v>
      </c>
      <c r="C276" t="s">
        <v>121</v>
      </c>
      <c r="D276" t="s">
        <v>15</v>
      </c>
      <c r="E276" t="s">
        <v>154</v>
      </c>
      <c r="F276" t="s">
        <v>25</v>
      </c>
      <c r="G276" t="s">
        <v>57</v>
      </c>
      <c r="H276" t="s">
        <v>58</v>
      </c>
      <c r="I276">
        <v>27158</v>
      </c>
      <c r="J276">
        <v>5</v>
      </c>
      <c r="K276" t="s">
        <v>28</v>
      </c>
      <c r="L276">
        <v>6764.26</v>
      </c>
      <c r="M276" t="str">
        <f t="shared" si="8"/>
        <v>May</v>
      </c>
      <c r="N276">
        <f t="shared" si="9"/>
        <v>2025</v>
      </c>
    </row>
    <row r="277" spans="1:14" x14ac:dyDescent="0.3">
      <c r="A277" t="s">
        <v>533</v>
      </c>
      <c r="B277" s="5">
        <v>45888</v>
      </c>
      <c r="C277" t="s">
        <v>37</v>
      </c>
      <c r="D277" t="s">
        <v>32</v>
      </c>
      <c r="E277" t="s">
        <v>33</v>
      </c>
      <c r="F277" t="s">
        <v>25</v>
      </c>
      <c r="G277" t="s">
        <v>40</v>
      </c>
      <c r="H277" t="s">
        <v>41</v>
      </c>
      <c r="I277">
        <v>5095</v>
      </c>
      <c r="J277">
        <v>7</v>
      </c>
      <c r="K277" t="s">
        <v>53</v>
      </c>
      <c r="L277">
        <v>606.35</v>
      </c>
      <c r="M277" t="str">
        <f t="shared" si="8"/>
        <v>Aug</v>
      </c>
      <c r="N277">
        <f t="shared" si="9"/>
        <v>2025</v>
      </c>
    </row>
    <row r="278" spans="1:14" x14ac:dyDescent="0.3">
      <c r="A278" t="s">
        <v>534</v>
      </c>
      <c r="B278" s="5">
        <v>45758</v>
      </c>
      <c r="C278" t="s">
        <v>31</v>
      </c>
      <c r="D278" t="s">
        <v>15</v>
      </c>
      <c r="E278" t="s">
        <v>154</v>
      </c>
      <c r="F278" t="s">
        <v>46</v>
      </c>
      <c r="G278" t="s">
        <v>87</v>
      </c>
      <c r="H278" t="s">
        <v>88</v>
      </c>
      <c r="I278">
        <v>26995</v>
      </c>
      <c r="J278">
        <v>7</v>
      </c>
      <c r="K278" t="s">
        <v>28</v>
      </c>
      <c r="L278">
        <v>4924</v>
      </c>
      <c r="M278" t="str">
        <f t="shared" si="8"/>
        <v>Apr</v>
      </c>
      <c r="N278">
        <f t="shared" si="9"/>
        <v>2025</v>
      </c>
    </row>
    <row r="279" spans="1:14" x14ac:dyDescent="0.3">
      <c r="A279" t="s">
        <v>536</v>
      </c>
      <c r="B279" s="5">
        <v>45668</v>
      </c>
      <c r="C279" t="s">
        <v>121</v>
      </c>
      <c r="D279" t="s">
        <v>23</v>
      </c>
      <c r="E279" t="s">
        <v>24</v>
      </c>
      <c r="F279" t="s">
        <v>25</v>
      </c>
      <c r="G279" t="s">
        <v>40</v>
      </c>
      <c r="H279" t="s">
        <v>41</v>
      </c>
      <c r="I279">
        <v>9653</v>
      </c>
      <c r="J279">
        <v>5</v>
      </c>
      <c r="K279" t="s">
        <v>28</v>
      </c>
      <c r="L279">
        <v>1104.1600000000001</v>
      </c>
      <c r="M279" t="str">
        <f t="shared" si="8"/>
        <v>Jan</v>
      </c>
      <c r="N279">
        <f t="shared" si="9"/>
        <v>2025</v>
      </c>
    </row>
    <row r="280" spans="1:14" x14ac:dyDescent="0.3">
      <c r="A280" t="s">
        <v>537</v>
      </c>
      <c r="B280" s="5">
        <v>45941</v>
      </c>
      <c r="C280" t="s">
        <v>66</v>
      </c>
      <c r="D280" t="s">
        <v>23</v>
      </c>
      <c r="E280" t="s">
        <v>82</v>
      </c>
      <c r="F280" t="s">
        <v>17</v>
      </c>
      <c r="G280" t="s">
        <v>76</v>
      </c>
      <c r="H280" t="s">
        <v>77</v>
      </c>
      <c r="I280">
        <v>4344</v>
      </c>
      <c r="J280">
        <v>5</v>
      </c>
      <c r="K280" t="s">
        <v>28</v>
      </c>
      <c r="L280">
        <v>801.71</v>
      </c>
      <c r="M280" t="str">
        <f t="shared" si="8"/>
        <v>Oct</v>
      </c>
      <c r="N280">
        <f t="shared" si="9"/>
        <v>2025</v>
      </c>
    </row>
    <row r="281" spans="1:14" x14ac:dyDescent="0.3">
      <c r="A281" t="s">
        <v>538</v>
      </c>
      <c r="B281" s="5">
        <v>45954</v>
      </c>
      <c r="C281" t="s">
        <v>63</v>
      </c>
      <c r="D281" t="s">
        <v>38</v>
      </c>
      <c r="E281" t="s">
        <v>52</v>
      </c>
      <c r="F281" t="s">
        <v>25</v>
      </c>
      <c r="G281" t="s">
        <v>40</v>
      </c>
      <c r="H281" t="s">
        <v>41</v>
      </c>
      <c r="I281">
        <v>20921</v>
      </c>
      <c r="J281">
        <v>2</v>
      </c>
      <c r="K281" t="s">
        <v>34</v>
      </c>
      <c r="L281">
        <v>3599.36</v>
      </c>
      <c r="M281" t="str">
        <f t="shared" si="8"/>
        <v>Oct</v>
      </c>
      <c r="N281">
        <f t="shared" si="9"/>
        <v>2025</v>
      </c>
    </row>
    <row r="282" spans="1:14" x14ac:dyDescent="0.3">
      <c r="A282" t="s">
        <v>540</v>
      </c>
      <c r="B282" s="5">
        <v>45738</v>
      </c>
      <c r="C282" t="s">
        <v>56</v>
      </c>
      <c r="D282" t="s">
        <v>23</v>
      </c>
      <c r="E282" t="s">
        <v>82</v>
      </c>
      <c r="F282" t="s">
        <v>25</v>
      </c>
      <c r="G282" t="s">
        <v>40</v>
      </c>
      <c r="H282" t="s">
        <v>41</v>
      </c>
      <c r="I282">
        <v>53780</v>
      </c>
      <c r="J282">
        <v>8</v>
      </c>
      <c r="K282" t="s">
        <v>34</v>
      </c>
      <c r="L282">
        <v>4422.99</v>
      </c>
      <c r="M282" t="str">
        <f t="shared" si="8"/>
        <v>Mar</v>
      </c>
      <c r="N282">
        <f t="shared" si="9"/>
        <v>2025</v>
      </c>
    </row>
    <row r="283" spans="1:14" x14ac:dyDescent="0.3">
      <c r="A283" t="s">
        <v>542</v>
      </c>
      <c r="B283" s="5">
        <v>45755</v>
      </c>
      <c r="C283" t="s">
        <v>63</v>
      </c>
      <c r="D283" t="s">
        <v>15</v>
      </c>
      <c r="E283" t="s">
        <v>154</v>
      </c>
      <c r="F283" t="s">
        <v>25</v>
      </c>
      <c r="G283" t="s">
        <v>57</v>
      </c>
      <c r="H283" t="s">
        <v>58</v>
      </c>
      <c r="I283">
        <v>27533</v>
      </c>
      <c r="J283">
        <v>1</v>
      </c>
      <c r="K283" t="s">
        <v>34</v>
      </c>
      <c r="L283">
        <v>3115.96</v>
      </c>
      <c r="M283" t="str">
        <f t="shared" si="8"/>
        <v>Apr</v>
      </c>
      <c r="N283">
        <f t="shared" si="9"/>
        <v>2025</v>
      </c>
    </row>
    <row r="284" spans="1:14" x14ac:dyDescent="0.3">
      <c r="A284" t="s">
        <v>544</v>
      </c>
      <c r="B284" s="5">
        <v>45868</v>
      </c>
      <c r="C284" t="s">
        <v>37</v>
      </c>
      <c r="D284" t="s">
        <v>32</v>
      </c>
      <c r="E284" t="s">
        <v>116</v>
      </c>
      <c r="F284" t="s">
        <v>17</v>
      </c>
      <c r="G284" t="s">
        <v>104</v>
      </c>
      <c r="H284" t="s">
        <v>105</v>
      </c>
      <c r="I284">
        <v>66886</v>
      </c>
      <c r="J284">
        <v>7</v>
      </c>
      <c r="K284" t="s">
        <v>34</v>
      </c>
      <c r="L284">
        <v>7070.38</v>
      </c>
      <c r="M284" t="str">
        <f t="shared" si="8"/>
        <v>Jul</v>
      </c>
      <c r="N284">
        <f t="shared" si="9"/>
        <v>2025</v>
      </c>
    </row>
    <row r="285" spans="1:14" x14ac:dyDescent="0.3">
      <c r="A285" t="s">
        <v>545</v>
      </c>
      <c r="B285" s="5">
        <v>45955</v>
      </c>
      <c r="C285" t="s">
        <v>63</v>
      </c>
      <c r="D285" t="s">
        <v>38</v>
      </c>
      <c r="E285" t="s">
        <v>67</v>
      </c>
      <c r="F285" t="s">
        <v>25</v>
      </c>
      <c r="G285" t="s">
        <v>40</v>
      </c>
      <c r="H285" t="s">
        <v>41</v>
      </c>
      <c r="I285">
        <v>72797</v>
      </c>
      <c r="J285">
        <v>8</v>
      </c>
      <c r="K285" t="s">
        <v>20</v>
      </c>
      <c r="L285">
        <v>18255.36</v>
      </c>
      <c r="M285" t="str">
        <f t="shared" si="8"/>
        <v>Oct</v>
      </c>
      <c r="N285">
        <f t="shared" si="9"/>
        <v>2025</v>
      </c>
    </row>
    <row r="286" spans="1:14" x14ac:dyDescent="0.3">
      <c r="A286" t="s">
        <v>546</v>
      </c>
      <c r="B286" s="5">
        <v>45773</v>
      </c>
      <c r="C286" t="s">
        <v>66</v>
      </c>
      <c r="D286" t="s">
        <v>23</v>
      </c>
      <c r="E286" t="s">
        <v>24</v>
      </c>
      <c r="F286" t="s">
        <v>25</v>
      </c>
      <c r="G286" t="s">
        <v>40</v>
      </c>
      <c r="H286" t="s">
        <v>41</v>
      </c>
      <c r="I286">
        <v>15018</v>
      </c>
      <c r="J286">
        <v>8</v>
      </c>
      <c r="K286" t="s">
        <v>28</v>
      </c>
      <c r="L286">
        <v>3123.07</v>
      </c>
      <c r="M286" t="str">
        <f t="shared" si="8"/>
        <v>Apr</v>
      </c>
      <c r="N286">
        <f t="shared" si="9"/>
        <v>2025</v>
      </c>
    </row>
    <row r="287" spans="1:14" x14ac:dyDescent="0.3">
      <c r="A287" t="s">
        <v>547</v>
      </c>
      <c r="B287" s="5">
        <v>45690</v>
      </c>
      <c r="C287" t="s">
        <v>44</v>
      </c>
      <c r="D287" t="s">
        <v>23</v>
      </c>
      <c r="E287" t="s">
        <v>129</v>
      </c>
      <c r="F287" t="s">
        <v>17</v>
      </c>
      <c r="G287" t="s">
        <v>18</v>
      </c>
      <c r="H287" t="s">
        <v>19</v>
      </c>
      <c r="I287">
        <v>53085</v>
      </c>
      <c r="J287">
        <v>8</v>
      </c>
      <c r="K287" t="s">
        <v>20</v>
      </c>
      <c r="L287">
        <v>14183.61</v>
      </c>
      <c r="M287" t="str">
        <f t="shared" si="8"/>
        <v>Feb</v>
      </c>
      <c r="N287">
        <f t="shared" si="9"/>
        <v>2025</v>
      </c>
    </row>
    <row r="288" spans="1:14" x14ac:dyDescent="0.3">
      <c r="A288" t="s">
        <v>549</v>
      </c>
      <c r="B288" s="5">
        <v>45780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58494</v>
      </c>
      <c r="J288">
        <v>7</v>
      </c>
      <c r="K288" t="s">
        <v>34</v>
      </c>
      <c r="L288">
        <v>13907.91</v>
      </c>
      <c r="M288" t="str">
        <f t="shared" si="8"/>
        <v>May</v>
      </c>
      <c r="N288">
        <f t="shared" si="9"/>
        <v>2025</v>
      </c>
    </row>
    <row r="289" spans="1:14" x14ac:dyDescent="0.3">
      <c r="A289" t="s">
        <v>551</v>
      </c>
      <c r="B289" s="5">
        <v>45937</v>
      </c>
      <c r="C289" t="s">
        <v>37</v>
      </c>
      <c r="D289" t="s">
        <v>38</v>
      </c>
      <c r="E289" t="s">
        <v>52</v>
      </c>
      <c r="F289" t="s">
        <v>25</v>
      </c>
      <c r="G289" t="s">
        <v>26</v>
      </c>
      <c r="H289" t="s">
        <v>27</v>
      </c>
      <c r="I289">
        <v>1329</v>
      </c>
      <c r="J289">
        <v>2</v>
      </c>
      <c r="K289" t="s">
        <v>20</v>
      </c>
      <c r="L289">
        <v>231.68</v>
      </c>
      <c r="M289" t="str">
        <f t="shared" si="8"/>
        <v>Oct</v>
      </c>
      <c r="N289">
        <f t="shared" si="9"/>
        <v>2025</v>
      </c>
    </row>
    <row r="290" spans="1:14" x14ac:dyDescent="0.3">
      <c r="A290" t="s">
        <v>552</v>
      </c>
      <c r="B290" s="5">
        <v>45942</v>
      </c>
      <c r="C290" t="s">
        <v>66</v>
      </c>
      <c r="D290" t="s">
        <v>32</v>
      </c>
      <c r="E290" t="s">
        <v>116</v>
      </c>
      <c r="F290" t="s">
        <v>17</v>
      </c>
      <c r="G290" t="s">
        <v>104</v>
      </c>
      <c r="H290" t="s">
        <v>105</v>
      </c>
      <c r="I290">
        <v>52339</v>
      </c>
      <c r="J290">
        <v>5</v>
      </c>
      <c r="K290" t="s">
        <v>53</v>
      </c>
      <c r="L290">
        <v>4603.37</v>
      </c>
      <c r="M290" t="str">
        <f t="shared" si="8"/>
        <v>Oct</v>
      </c>
      <c r="N290">
        <f t="shared" si="9"/>
        <v>2025</v>
      </c>
    </row>
    <row r="291" spans="1:14" x14ac:dyDescent="0.3">
      <c r="A291" t="s">
        <v>553</v>
      </c>
      <c r="B291" s="5">
        <v>45786</v>
      </c>
      <c r="C291" t="s">
        <v>37</v>
      </c>
      <c r="D291" t="s">
        <v>15</v>
      </c>
      <c r="E291" t="s">
        <v>154</v>
      </c>
      <c r="F291" t="s">
        <v>25</v>
      </c>
      <c r="G291" t="s">
        <v>57</v>
      </c>
      <c r="H291" t="s">
        <v>58</v>
      </c>
      <c r="I291">
        <v>36231</v>
      </c>
      <c r="J291">
        <v>3</v>
      </c>
      <c r="K291" t="s">
        <v>34</v>
      </c>
      <c r="L291">
        <v>7303.6</v>
      </c>
      <c r="M291" t="str">
        <f t="shared" si="8"/>
        <v>May</v>
      </c>
      <c r="N291">
        <f t="shared" si="9"/>
        <v>2025</v>
      </c>
    </row>
    <row r="292" spans="1:14" x14ac:dyDescent="0.3">
      <c r="A292" t="s">
        <v>554</v>
      </c>
      <c r="B292" s="5">
        <v>46015</v>
      </c>
      <c r="C292" t="s">
        <v>72</v>
      </c>
      <c r="D292" t="s">
        <v>32</v>
      </c>
      <c r="E292" t="s">
        <v>116</v>
      </c>
      <c r="F292" t="s">
        <v>25</v>
      </c>
      <c r="G292" t="s">
        <v>57</v>
      </c>
      <c r="H292" t="s">
        <v>58</v>
      </c>
      <c r="I292">
        <v>72117</v>
      </c>
      <c r="J292">
        <v>4</v>
      </c>
      <c r="K292" t="s">
        <v>49</v>
      </c>
      <c r="L292">
        <v>9506.93</v>
      </c>
      <c r="M292" t="str">
        <f t="shared" si="8"/>
        <v>Dec</v>
      </c>
      <c r="N292">
        <f t="shared" si="9"/>
        <v>2025</v>
      </c>
    </row>
    <row r="293" spans="1:14" x14ac:dyDescent="0.3">
      <c r="A293" t="s">
        <v>556</v>
      </c>
      <c r="B293" s="5">
        <v>45817</v>
      </c>
      <c r="C293" t="s">
        <v>56</v>
      </c>
      <c r="D293" t="s">
        <v>15</v>
      </c>
      <c r="E293" t="s">
        <v>154</v>
      </c>
      <c r="F293" t="s">
        <v>25</v>
      </c>
      <c r="G293" t="s">
        <v>26</v>
      </c>
      <c r="H293" t="s">
        <v>27</v>
      </c>
      <c r="I293">
        <v>53605</v>
      </c>
      <c r="J293">
        <v>7</v>
      </c>
      <c r="K293" t="s">
        <v>49</v>
      </c>
      <c r="L293">
        <v>7013.7</v>
      </c>
      <c r="M293" t="str">
        <f t="shared" si="8"/>
        <v>Jun</v>
      </c>
      <c r="N293">
        <f t="shared" si="9"/>
        <v>2025</v>
      </c>
    </row>
    <row r="294" spans="1:14" x14ac:dyDescent="0.3">
      <c r="A294" t="s">
        <v>557</v>
      </c>
      <c r="B294" s="5">
        <v>45953</v>
      </c>
      <c r="C294" t="s">
        <v>66</v>
      </c>
      <c r="D294" t="s">
        <v>23</v>
      </c>
      <c r="E294" t="s">
        <v>24</v>
      </c>
      <c r="F294" t="s">
        <v>46</v>
      </c>
      <c r="G294" t="s">
        <v>94</v>
      </c>
      <c r="H294" t="s">
        <v>95</v>
      </c>
      <c r="I294">
        <v>25708</v>
      </c>
      <c r="J294">
        <v>4</v>
      </c>
      <c r="K294" t="s">
        <v>53</v>
      </c>
      <c r="L294">
        <v>6283.03</v>
      </c>
      <c r="M294" t="str">
        <f t="shared" si="8"/>
        <v>Oct</v>
      </c>
      <c r="N294">
        <f t="shared" si="9"/>
        <v>2025</v>
      </c>
    </row>
    <row r="295" spans="1:14" x14ac:dyDescent="0.3">
      <c r="A295" t="s">
        <v>558</v>
      </c>
      <c r="B295" s="5">
        <v>45886</v>
      </c>
      <c r="C295" t="s">
        <v>63</v>
      </c>
      <c r="D295" t="s">
        <v>32</v>
      </c>
      <c r="E295" t="s">
        <v>116</v>
      </c>
      <c r="F295" t="s">
        <v>25</v>
      </c>
      <c r="G295" t="s">
        <v>26</v>
      </c>
      <c r="H295" t="s">
        <v>27</v>
      </c>
      <c r="I295">
        <v>67937</v>
      </c>
      <c r="J295">
        <v>6</v>
      </c>
      <c r="K295" t="s">
        <v>34</v>
      </c>
      <c r="L295">
        <v>10285.540000000001</v>
      </c>
      <c r="M295" t="str">
        <f t="shared" si="8"/>
        <v>Aug</v>
      </c>
      <c r="N295">
        <f t="shared" si="9"/>
        <v>2025</v>
      </c>
    </row>
    <row r="296" spans="1:14" x14ac:dyDescent="0.3">
      <c r="A296" t="s">
        <v>560</v>
      </c>
      <c r="B296" s="5">
        <v>45977</v>
      </c>
      <c r="C296" t="s">
        <v>37</v>
      </c>
      <c r="D296" t="s">
        <v>15</v>
      </c>
      <c r="E296" t="s">
        <v>73</v>
      </c>
      <c r="F296" t="s">
        <v>25</v>
      </c>
      <c r="G296" t="s">
        <v>40</v>
      </c>
      <c r="H296" t="s">
        <v>41</v>
      </c>
      <c r="I296">
        <v>65367</v>
      </c>
      <c r="J296">
        <v>7</v>
      </c>
      <c r="K296" t="s">
        <v>28</v>
      </c>
      <c r="L296">
        <v>15667.81</v>
      </c>
      <c r="M296" t="str">
        <f t="shared" si="8"/>
        <v>Nov</v>
      </c>
      <c r="N296">
        <f t="shared" si="9"/>
        <v>2025</v>
      </c>
    </row>
    <row r="297" spans="1:14" x14ac:dyDescent="0.3">
      <c r="A297" t="s">
        <v>562</v>
      </c>
      <c r="B297" s="5">
        <v>45723</v>
      </c>
      <c r="C297" t="s">
        <v>31</v>
      </c>
      <c r="D297" t="s">
        <v>23</v>
      </c>
      <c r="E297" t="s">
        <v>24</v>
      </c>
      <c r="F297" t="s">
        <v>46</v>
      </c>
      <c r="G297" t="s">
        <v>47</v>
      </c>
      <c r="H297" t="s">
        <v>48</v>
      </c>
      <c r="I297">
        <v>78406</v>
      </c>
      <c r="J297">
        <v>7</v>
      </c>
      <c r="K297" t="s">
        <v>53</v>
      </c>
      <c r="L297">
        <v>14053.4</v>
      </c>
      <c r="M297" t="str">
        <f t="shared" si="8"/>
        <v>Mar</v>
      </c>
      <c r="N297">
        <f t="shared" si="9"/>
        <v>2025</v>
      </c>
    </row>
    <row r="298" spans="1:14" x14ac:dyDescent="0.3">
      <c r="A298" t="s">
        <v>563</v>
      </c>
      <c r="B298" s="5">
        <v>45921</v>
      </c>
      <c r="C298" t="s">
        <v>63</v>
      </c>
      <c r="D298" t="s">
        <v>38</v>
      </c>
      <c r="E298" t="s">
        <v>67</v>
      </c>
      <c r="F298" t="s">
        <v>46</v>
      </c>
      <c r="G298" t="s">
        <v>94</v>
      </c>
      <c r="H298" t="s">
        <v>95</v>
      </c>
      <c r="I298">
        <v>47680</v>
      </c>
      <c r="J298">
        <v>6</v>
      </c>
      <c r="K298" t="s">
        <v>28</v>
      </c>
      <c r="L298">
        <v>10636.12</v>
      </c>
      <c r="M298" t="str">
        <f t="shared" si="8"/>
        <v>Sep</v>
      </c>
      <c r="N298">
        <f t="shared" si="9"/>
        <v>2025</v>
      </c>
    </row>
    <row r="299" spans="1:14" x14ac:dyDescent="0.3">
      <c r="A299" t="s">
        <v>565</v>
      </c>
      <c r="B299" s="5">
        <v>45985</v>
      </c>
      <c r="C299" t="s">
        <v>44</v>
      </c>
      <c r="D299" t="s">
        <v>38</v>
      </c>
      <c r="E299" t="s">
        <v>67</v>
      </c>
      <c r="F299" t="s">
        <v>25</v>
      </c>
      <c r="G299" t="s">
        <v>26</v>
      </c>
      <c r="H299" t="s">
        <v>27</v>
      </c>
      <c r="I299">
        <v>3766</v>
      </c>
      <c r="J299">
        <v>1</v>
      </c>
      <c r="K299" t="s">
        <v>34</v>
      </c>
      <c r="L299">
        <v>642.41999999999996</v>
      </c>
      <c r="M299" t="str">
        <f t="shared" si="8"/>
        <v>Nov</v>
      </c>
      <c r="N299">
        <f t="shared" si="9"/>
        <v>2025</v>
      </c>
    </row>
    <row r="300" spans="1:14" x14ac:dyDescent="0.3">
      <c r="A300" t="s">
        <v>566</v>
      </c>
      <c r="B300" s="5">
        <v>45944</v>
      </c>
      <c r="C300" t="s">
        <v>44</v>
      </c>
      <c r="D300" t="s">
        <v>15</v>
      </c>
      <c r="E300" t="s">
        <v>16</v>
      </c>
      <c r="F300" t="s">
        <v>25</v>
      </c>
      <c r="G300" t="s">
        <v>26</v>
      </c>
      <c r="H300" t="s">
        <v>27</v>
      </c>
      <c r="I300">
        <v>26719</v>
      </c>
      <c r="J300">
        <v>2</v>
      </c>
      <c r="K300" t="s">
        <v>28</v>
      </c>
      <c r="L300">
        <v>3718.14</v>
      </c>
      <c r="M300" t="str">
        <f t="shared" si="8"/>
        <v>Oct</v>
      </c>
      <c r="N300">
        <f t="shared" si="9"/>
        <v>2025</v>
      </c>
    </row>
    <row r="301" spans="1:14" x14ac:dyDescent="0.3">
      <c r="A301" t="s">
        <v>568</v>
      </c>
      <c r="B301" s="5">
        <v>46015</v>
      </c>
      <c r="C301" t="s">
        <v>63</v>
      </c>
      <c r="D301" t="s">
        <v>32</v>
      </c>
      <c r="E301" t="s">
        <v>116</v>
      </c>
      <c r="F301" t="s">
        <v>46</v>
      </c>
      <c r="G301" t="s">
        <v>87</v>
      </c>
      <c r="H301" t="s">
        <v>88</v>
      </c>
      <c r="I301">
        <v>1808</v>
      </c>
      <c r="J301">
        <v>10</v>
      </c>
      <c r="K301" t="s">
        <v>20</v>
      </c>
      <c r="L301">
        <v>458.93</v>
      </c>
      <c r="M301" t="str">
        <f t="shared" si="8"/>
        <v>Dec</v>
      </c>
      <c r="N301">
        <f t="shared" si="9"/>
        <v>2025</v>
      </c>
    </row>
    <row r="302" spans="1:14" x14ac:dyDescent="0.3">
      <c r="A302" t="s">
        <v>569</v>
      </c>
      <c r="B302" s="5">
        <v>45994</v>
      </c>
      <c r="C302" t="s">
        <v>66</v>
      </c>
      <c r="D302" t="s">
        <v>15</v>
      </c>
      <c r="E302" t="s">
        <v>73</v>
      </c>
      <c r="F302" t="s">
        <v>46</v>
      </c>
      <c r="G302" t="s">
        <v>94</v>
      </c>
      <c r="H302" t="s">
        <v>95</v>
      </c>
      <c r="I302">
        <v>46979</v>
      </c>
      <c r="J302">
        <v>10</v>
      </c>
      <c r="K302" t="s">
        <v>34</v>
      </c>
      <c r="L302">
        <v>11836.18</v>
      </c>
      <c r="M302" t="str">
        <f t="shared" si="8"/>
        <v>Dec</v>
      </c>
      <c r="N302">
        <f t="shared" si="9"/>
        <v>2025</v>
      </c>
    </row>
    <row r="303" spans="1:14" x14ac:dyDescent="0.3">
      <c r="A303" t="s">
        <v>571</v>
      </c>
      <c r="B303" s="5">
        <v>45917</v>
      </c>
      <c r="C303" t="s">
        <v>66</v>
      </c>
      <c r="D303" t="s">
        <v>15</v>
      </c>
      <c r="E303" t="s">
        <v>16</v>
      </c>
      <c r="F303" t="s">
        <v>25</v>
      </c>
      <c r="G303" t="s">
        <v>57</v>
      </c>
      <c r="H303" t="s">
        <v>58</v>
      </c>
      <c r="I303">
        <v>66579</v>
      </c>
      <c r="J303">
        <v>4</v>
      </c>
      <c r="K303" t="s">
        <v>20</v>
      </c>
      <c r="L303">
        <v>14424.65</v>
      </c>
      <c r="M303" t="str">
        <f t="shared" si="8"/>
        <v>Sep</v>
      </c>
      <c r="N303">
        <f t="shared" si="9"/>
        <v>2025</v>
      </c>
    </row>
    <row r="304" spans="1:14" x14ac:dyDescent="0.3">
      <c r="A304" t="s">
        <v>573</v>
      </c>
      <c r="B304" s="5">
        <v>45982</v>
      </c>
      <c r="C304" t="s">
        <v>63</v>
      </c>
      <c r="D304" t="s">
        <v>32</v>
      </c>
      <c r="E304" t="s">
        <v>33</v>
      </c>
      <c r="F304" t="s">
        <v>25</v>
      </c>
      <c r="G304" t="s">
        <v>57</v>
      </c>
      <c r="H304" t="s">
        <v>58</v>
      </c>
      <c r="I304">
        <v>44559</v>
      </c>
      <c r="J304">
        <v>2</v>
      </c>
      <c r="K304" t="s">
        <v>34</v>
      </c>
      <c r="L304">
        <v>9650.4500000000007</v>
      </c>
      <c r="M304" t="str">
        <f t="shared" si="8"/>
        <v>Nov</v>
      </c>
      <c r="N304">
        <f t="shared" si="9"/>
        <v>2025</v>
      </c>
    </row>
    <row r="305" spans="1:14" x14ac:dyDescent="0.3">
      <c r="A305" t="s">
        <v>574</v>
      </c>
      <c r="B305" s="5">
        <v>45860</v>
      </c>
      <c r="C305" t="s">
        <v>91</v>
      </c>
      <c r="D305" t="s">
        <v>23</v>
      </c>
      <c r="E305" t="s">
        <v>24</v>
      </c>
      <c r="F305" t="s">
        <v>46</v>
      </c>
      <c r="G305" t="s">
        <v>47</v>
      </c>
      <c r="H305" t="s">
        <v>48</v>
      </c>
      <c r="I305">
        <v>57875</v>
      </c>
      <c r="J305">
        <v>6</v>
      </c>
      <c r="K305" t="s">
        <v>34</v>
      </c>
      <c r="L305">
        <v>8926.66</v>
      </c>
      <c r="M305" t="str">
        <f t="shared" si="8"/>
        <v>Jul</v>
      </c>
      <c r="N305">
        <f t="shared" si="9"/>
        <v>2025</v>
      </c>
    </row>
    <row r="306" spans="1:14" x14ac:dyDescent="0.3">
      <c r="A306" t="s">
        <v>575</v>
      </c>
      <c r="B306" s="5">
        <v>45945</v>
      </c>
      <c r="C306" t="s">
        <v>37</v>
      </c>
      <c r="D306" t="s">
        <v>38</v>
      </c>
      <c r="E306" t="s">
        <v>67</v>
      </c>
      <c r="F306" t="s">
        <v>17</v>
      </c>
      <c r="G306" t="s">
        <v>104</v>
      </c>
      <c r="H306" t="s">
        <v>105</v>
      </c>
      <c r="I306">
        <v>52336</v>
      </c>
      <c r="J306">
        <v>10</v>
      </c>
      <c r="K306" t="s">
        <v>20</v>
      </c>
      <c r="L306">
        <v>11338.67</v>
      </c>
      <c r="M306" t="str">
        <f t="shared" si="8"/>
        <v>Oct</v>
      </c>
      <c r="N306">
        <f t="shared" si="9"/>
        <v>2025</v>
      </c>
    </row>
    <row r="307" spans="1:14" x14ac:dyDescent="0.3">
      <c r="A307" t="s">
        <v>576</v>
      </c>
      <c r="B307" s="5">
        <v>45973</v>
      </c>
      <c r="C307" t="s">
        <v>121</v>
      </c>
      <c r="D307" t="s">
        <v>23</v>
      </c>
      <c r="E307" t="s">
        <v>82</v>
      </c>
      <c r="F307" t="s">
        <v>25</v>
      </c>
      <c r="G307" t="s">
        <v>40</v>
      </c>
      <c r="H307" t="s">
        <v>41</v>
      </c>
      <c r="I307">
        <v>56792</v>
      </c>
      <c r="J307">
        <v>10</v>
      </c>
      <c r="K307" t="s">
        <v>34</v>
      </c>
      <c r="L307">
        <v>8633.0300000000007</v>
      </c>
      <c r="M307" t="str">
        <f t="shared" si="8"/>
        <v>Nov</v>
      </c>
      <c r="N307">
        <f t="shared" si="9"/>
        <v>2025</v>
      </c>
    </row>
    <row r="308" spans="1:14" x14ac:dyDescent="0.3">
      <c r="A308" t="s">
        <v>578</v>
      </c>
      <c r="B308" s="5">
        <v>45723</v>
      </c>
      <c r="C308" t="s">
        <v>66</v>
      </c>
      <c r="D308" t="s">
        <v>23</v>
      </c>
      <c r="E308" t="s">
        <v>129</v>
      </c>
      <c r="F308" t="s">
        <v>17</v>
      </c>
      <c r="G308" t="s">
        <v>76</v>
      </c>
      <c r="H308" t="s">
        <v>77</v>
      </c>
      <c r="I308">
        <v>20380</v>
      </c>
      <c r="J308">
        <v>9</v>
      </c>
      <c r="K308" t="s">
        <v>28</v>
      </c>
      <c r="L308">
        <v>4092.07</v>
      </c>
      <c r="M308" t="str">
        <f t="shared" si="8"/>
        <v>Mar</v>
      </c>
      <c r="N308">
        <f t="shared" si="9"/>
        <v>2025</v>
      </c>
    </row>
    <row r="309" spans="1:14" x14ac:dyDescent="0.3">
      <c r="A309" t="s">
        <v>579</v>
      </c>
      <c r="B309" s="5">
        <v>45783</v>
      </c>
      <c r="C309" t="s">
        <v>91</v>
      </c>
      <c r="D309" t="s">
        <v>15</v>
      </c>
      <c r="E309" t="s">
        <v>73</v>
      </c>
      <c r="F309" t="s">
        <v>46</v>
      </c>
      <c r="G309" t="s">
        <v>87</v>
      </c>
      <c r="H309" t="s">
        <v>88</v>
      </c>
      <c r="I309">
        <v>1484</v>
      </c>
      <c r="J309">
        <v>2</v>
      </c>
      <c r="K309" t="s">
        <v>28</v>
      </c>
      <c r="L309">
        <v>140.34</v>
      </c>
      <c r="M309" t="str">
        <f t="shared" si="8"/>
        <v>May</v>
      </c>
      <c r="N309">
        <f t="shared" si="9"/>
        <v>2025</v>
      </c>
    </row>
    <row r="310" spans="1:14" x14ac:dyDescent="0.3">
      <c r="A310" t="s">
        <v>580</v>
      </c>
      <c r="B310" s="5">
        <v>45816</v>
      </c>
      <c r="C310" t="s">
        <v>14</v>
      </c>
      <c r="D310" t="s">
        <v>38</v>
      </c>
      <c r="E310" t="s">
        <v>67</v>
      </c>
      <c r="F310" t="s">
        <v>46</v>
      </c>
      <c r="G310" t="s">
        <v>47</v>
      </c>
      <c r="H310" t="s">
        <v>48</v>
      </c>
      <c r="I310">
        <v>72895</v>
      </c>
      <c r="J310">
        <v>5</v>
      </c>
      <c r="K310" t="s">
        <v>28</v>
      </c>
      <c r="L310">
        <v>6601.62</v>
      </c>
      <c r="M310" t="str">
        <f t="shared" si="8"/>
        <v>Jun</v>
      </c>
      <c r="N310">
        <f t="shared" si="9"/>
        <v>2025</v>
      </c>
    </row>
    <row r="311" spans="1:14" x14ac:dyDescent="0.3">
      <c r="A311" t="s">
        <v>581</v>
      </c>
      <c r="B311" s="5">
        <v>45855</v>
      </c>
      <c r="C311" t="s">
        <v>72</v>
      </c>
      <c r="D311" t="s">
        <v>38</v>
      </c>
      <c r="E311" t="s">
        <v>67</v>
      </c>
      <c r="F311" t="s">
        <v>46</v>
      </c>
      <c r="G311" t="s">
        <v>87</v>
      </c>
      <c r="H311" t="s">
        <v>88</v>
      </c>
      <c r="I311">
        <v>35456</v>
      </c>
      <c r="J311">
        <v>1</v>
      </c>
      <c r="K311" t="s">
        <v>20</v>
      </c>
      <c r="L311">
        <v>9762.77</v>
      </c>
      <c r="M311" t="str">
        <f t="shared" si="8"/>
        <v>Jul</v>
      </c>
      <c r="N311">
        <f t="shared" si="9"/>
        <v>2025</v>
      </c>
    </row>
    <row r="312" spans="1:14" x14ac:dyDescent="0.3">
      <c r="A312" t="s">
        <v>582</v>
      </c>
      <c r="B312" s="5">
        <v>45708</v>
      </c>
      <c r="C312" t="s">
        <v>31</v>
      </c>
      <c r="D312" t="s">
        <v>32</v>
      </c>
      <c r="E312" t="s">
        <v>45</v>
      </c>
      <c r="F312" t="s">
        <v>17</v>
      </c>
      <c r="G312" t="s">
        <v>76</v>
      </c>
      <c r="H312" t="s">
        <v>77</v>
      </c>
      <c r="I312">
        <v>6617</v>
      </c>
      <c r="J312">
        <v>3</v>
      </c>
      <c r="K312" t="s">
        <v>20</v>
      </c>
      <c r="L312">
        <v>1300.26</v>
      </c>
      <c r="M312" t="str">
        <f t="shared" si="8"/>
        <v>Feb</v>
      </c>
      <c r="N312">
        <f t="shared" si="9"/>
        <v>2025</v>
      </c>
    </row>
    <row r="313" spans="1:14" x14ac:dyDescent="0.3">
      <c r="A313" t="s">
        <v>584</v>
      </c>
      <c r="B313" s="5">
        <v>45852</v>
      </c>
      <c r="C313" t="s">
        <v>14</v>
      </c>
      <c r="D313" t="s">
        <v>15</v>
      </c>
      <c r="E313" t="s">
        <v>73</v>
      </c>
      <c r="F313" t="s">
        <v>25</v>
      </c>
      <c r="G313" t="s">
        <v>26</v>
      </c>
      <c r="H313" t="s">
        <v>27</v>
      </c>
      <c r="I313">
        <v>29629</v>
      </c>
      <c r="J313">
        <v>9</v>
      </c>
      <c r="K313" t="s">
        <v>20</v>
      </c>
      <c r="L313">
        <v>7017.94</v>
      </c>
      <c r="M313" t="str">
        <f t="shared" si="8"/>
        <v>Jul</v>
      </c>
      <c r="N313">
        <f t="shared" si="9"/>
        <v>2025</v>
      </c>
    </row>
    <row r="314" spans="1:14" x14ac:dyDescent="0.3">
      <c r="A314" t="s">
        <v>585</v>
      </c>
      <c r="B314" s="5">
        <v>45980</v>
      </c>
      <c r="C314" t="s">
        <v>63</v>
      </c>
      <c r="D314" t="s">
        <v>23</v>
      </c>
      <c r="E314" t="s">
        <v>24</v>
      </c>
      <c r="F314" t="s">
        <v>25</v>
      </c>
      <c r="G314" t="s">
        <v>57</v>
      </c>
      <c r="H314" t="s">
        <v>58</v>
      </c>
      <c r="I314">
        <v>5550</v>
      </c>
      <c r="J314">
        <v>1</v>
      </c>
      <c r="K314" t="s">
        <v>20</v>
      </c>
      <c r="L314">
        <v>1156.26</v>
      </c>
      <c r="M314" t="str">
        <f t="shared" si="8"/>
        <v>Nov</v>
      </c>
      <c r="N314">
        <f t="shared" si="9"/>
        <v>2025</v>
      </c>
    </row>
    <row r="315" spans="1:14" x14ac:dyDescent="0.3">
      <c r="A315" t="s">
        <v>586</v>
      </c>
      <c r="B315" s="5">
        <v>45956</v>
      </c>
      <c r="C315" t="s">
        <v>44</v>
      </c>
      <c r="D315" t="s">
        <v>15</v>
      </c>
      <c r="E315" t="s">
        <v>16</v>
      </c>
      <c r="F315" t="s">
        <v>46</v>
      </c>
      <c r="G315" t="s">
        <v>87</v>
      </c>
      <c r="H315" t="s">
        <v>88</v>
      </c>
      <c r="I315">
        <v>12218</v>
      </c>
      <c r="J315">
        <v>3</v>
      </c>
      <c r="K315" t="s">
        <v>34</v>
      </c>
      <c r="L315">
        <v>2788.91</v>
      </c>
      <c r="M315" t="str">
        <f t="shared" si="8"/>
        <v>Oct</v>
      </c>
      <c r="N315">
        <f t="shared" si="9"/>
        <v>2025</v>
      </c>
    </row>
    <row r="316" spans="1:14" x14ac:dyDescent="0.3">
      <c r="A316" t="s">
        <v>588</v>
      </c>
      <c r="B316" s="5">
        <v>45771</v>
      </c>
      <c r="C316" t="s">
        <v>44</v>
      </c>
      <c r="D316" t="s">
        <v>15</v>
      </c>
      <c r="E316" t="s">
        <v>16</v>
      </c>
      <c r="F316" t="s">
        <v>25</v>
      </c>
      <c r="G316" t="s">
        <v>26</v>
      </c>
      <c r="H316" t="s">
        <v>27</v>
      </c>
      <c r="I316">
        <v>18972</v>
      </c>
      <c r="J316">
        <v>5</v>
      </c>
      <c r="K316" t="s">
        <v>28</v>
      </c>
      <c r="L316">
        <v>2406.0500000000002</v>
      </c>
      <c r="M316" t="str">
        <f t="shared" si="8"/>
        <v>Apr</v>
      </c>
      <c r="N316">
        <f t="shared" si="9"/>
        <v>2025</v>
      </c>
    </row>
    <row r="317" spans="1:14" x14ac:dyDescent="0.3">
      <c r="A317" t="s">
        <v>590</v>
      </c>
      <c r="B317" s="5">
        <v>45841</v>
      </c>
      <c r="C317" t="s">
        <v>63</v>
      </c>
      <c r="D317" t="s">
        <v>38</v>
      </c>
      <c r="E317" t="s">
        <v>52</v>
      </c>
      <c r="F317" t="s">
        <v>25</v>
      </c>
      <c r="G317" t="s">
        <v>40</v>
      </c>
      <c r="H317" t="s">
        <v>41</v>
      </c>
      <c r="I317">
        <v>58774</v>
      </c>
      <c r="J317">
        <v>10</v>
      </c>
      <c r="K317" t="s">
        <v>53</v>
      </c>
      <c r="L317">
        <v>8859.11</v>
      </c>
      <c r="M317" t="str">
        <f t="shared" si="8"/>
        <v>Jul</v>
      </c>
      <c r="N317">
        <f t="shared" si="9"/>
        <v>2025</v>
      </c>
    </row>
    <row r="318" spans="1:14" x14ac:dyDescent="0.3">
      <c r="A318" t="s">
        <v>591</v>
      </c>
      <c r="B318" s="5">
        <v>45894</v>
      </c>
      <c r="C318" t="s">
        <v>91</v>
      </c>
      <c r="D318" t="s">
        <v>15</v>
      </c>
      <c r="E318" t="s">
        <v>154</v>
      </c>
      <c r="F318" t="s">
        <v>25</v>
      </c>
      <c r="G318" t="s">
        <v>26</v>
      </c>
      <c r="H318" t="s">
        <v>27</v>
      </c>
      <c r="I318">
        <v>18861</v>
      </c>
      <c r="J318">
        <v>8</v>
      </c>
      <c r="K318" t="s">
        <v>34</v>
      </c>
      <c r="L318">
        <v>3436.6</v>
      </c>
      <c r="M318" t="str">
        <f t="shared" si="8"/>
        <v>Aug</v>
      </c>
      <c r="N318">
        <f t="shared" si="9"/>
        <v>2025</v>
      </c>
    </row>
    <row r="319" spans="1:14" x14ac:dyDescent="0.3">
      <c r="A319" t="s">
        <v>593</v>
      </c>
      <c r="B319" s="5">
        <v>45959</v>
      </c>
      <c r="C319" t="s">
        <v>31</v>
      </c>
      <c r="D319" t="s">
        <v>15</v>
      </c>
      <c r="E319" t="s">
        <v>16</v>
      </c>
      <c r="F319" t="s">
        <v>25</v>
      </c>
      <c r="G319" t="s">
        <v>40</v>
      </c>
      <c r="H319" t="s">
        <v>41</v>
      </c>
      <c r="I319">
        <v>39950</v>
      </c>
      <c r="J319">
        <v>5</v>
      </c>
      <c r="K319" t="s">
        <v>53</v>
      </c>
      <c r="L319">
        <v>7298.18</v>
      </c>
      <c r="M319" t="str">
        <f t="shared" si="8"/>
        <v>Oct</v>
      </c>
      <c r="N319">
        <f t="shared" si="9"/>
        <v>2025</v>
      </c>
    </row>
    <row r="320" spans="1:14" x14ac:dyDescent="0.3">
      <c r="A320" t="s">
        <v>595</v>
      </c>
      <c r="B320" s="5">
        <v>45924</v>
      </c>
      <c r="C320" t="s">
        <v>63</v>
      </c>
      <c r="D320" t="s">
        <v>23</v>
      </c>
      <c r="E320" t="s">
        <v>24</v>
      </c>
      <c r="F320" t="s">
        <v>25</v>
      </c>
      <c r="G320" t="s">
        <v>57</v>
      </c>
      <c r="H320" t="s">
        <v>58</v>
      </c>
      <c r="I320">
        <v>71309</v>
      </c>
      <c r="J320">
        <v>8</v>
      </c>
      <c r="K320" t="s">
        <v>34</v>
      </c>
      <c r="L320">
        <v>18402.75</v>
      </c>
      <c r="M320" t="str">
        <f t="shared" si="8"/>
        <v>Sep</v>
      </c>
      <c r="N320">
        <f t="shared" si="9"/>
        <v>2025</v>
      </c>
    </row>
    <row r="321" spans="1:14" x14ac:dyDescent="0.3">
      <c r="A321" t="s">
        <v>596</v>
      </c>
      <c r="B321" s="5">
        <v>45838</v>
      </c>
      <c r="C321" t="s">
        <v>14</v>
      </c>
      <c r="D321" t="s">
        <v>38</v>
      </c>
      <c r="E321" t="s">
        <v>67</v>
      </c>
      <c r="F321" t="s">
        <v>25</v>
      </c>
      <c r="G321" t="s">
        <v>26</v>
      </c>
      <c r="H321" t="s">
        <v>27</v>
      </c>
      <c r="I321">
        <v>60287</v>
      </c>
      <c r="J321">
        <v>9</v>
      </c>
      <c r="K321" t="s">
        <v>49</v>
      </c>
      <c r="L321">
        <v>6004.13</v>
      </c>
      <c r="M321" t="str">
        <f t="shared" si="8"/>
        <v>Jun</v>
      </c>
      <c r="N321">
        <f t="shared" si="9"/>
        <v>2025</v>
      </c>
    </row>
    <row r="322" spans="1:14" x14ac:dyDescent="0.3">
      <c r="A322" t="s">
        <v>598</v>
      </c>
      <c r="B322" s="5">
        <v>45918</v>
      </c>
      <c r="C322" t="s">
        <v>14</v>
      </c>
      <c r="D322" t="s">
        <v>32</v>
      </c>
      <c r="E322" t="s">
        <v>33</v>
      </c>
      <c r="F322" t="s">
        <v>25</v>
      </c>
      <c r="G322" t="s">
        <v>40</v>
      </c>
      <c r="H322" t="s">
        <v>41</v>
      </c>
      <c r="I322">
        <v>66733</v>
      </c>
      <c r="J322">
        <v>2</v>
      </c>
      <c r="K322" t="s">
        <v>20</v>
      </c>
      <c r="L322">
        <v>14703.47</v>
      </c>
      <c r="M322" t="str">
        <f t="shared" si="8"/>
        <v>Sep</v>
      </c>
      <c r="N322">
        <f t="shared" si="9"/>
        <v>2025</v>
      </c>
    </row>
    <row r="323" spans="1:14" x14ac:dyDescent="0.3">
      <c r="A323" t="s">
        <v>599</v>
      </c>
      <c r="B323" s="5">
        <v>45830</v>
      </c>
      <c r="C323" t="s">
        <v>66</v>
      </c>
      <c r="D323" t="s">
        <v>38</v>
      </c>
      <c r="E323" t="s">
        <v>52</v>
      </c>
      <c r="F323" t="s">
        <v>46</v>
      </c>
      <c r="G323" t="s">
        <v>87</v>
      </c>
      <c r="H323" t="s">
        <v>88</v>
      </c>
      <c r="I323">
        <v>60129</v>
      </c>
      <c r="J323">
        <v>1</v>
      </c>
      <c r="K323" t="s">
        <v>20</v>
      </c>
      <c r="L323">
        <v>11891.98</v>
      </c>
      <c r="M323" t="str">
        <f t="shared" ref="M323:M386" si="10">TEXT(B323,"mmm")</f>
        <v>Jun</v>
      </c>
      <c r="N323">
        <f t="shared" ref="N323:N386" si="11">YEAR(B323)</f>
        <v>2025</v>
      </c>
    </row>
    <row r="324" spans="1:14" x14ac:dyDescent="0.3">
      <c r="A324" t="s">
        <v>601</v>
      </c>
      <c r="B324" s="5">
        <v>45925</v>
      </c>
      <c r="C324" t="s">
        <v>72</v>
      </c>
      <c r="D324" t="s">
        <v>15</v>
      </c>
      <c r="E324" t="s">
        <v>16</v>
      </c>
      <c r="F324" t="s">
        <v>25</v>
      </c>
      <c r="G324" t="s">
        <v>26</v>
      </c>
      <c r="H324" t="s">
        <v>27</v>
      </c>
      <c r="I324">
        <v>14485</v>
      </c>
      <c r="J324">
        <v>6</v>
      </c>
      <c r="K324" t="s">
        <v>53</v>
      </c>
      <c r="L324">
        <v>3318.27</v>
      </c>
      <c r="M324" t="str">
        <f t="shared" si="10"/>
        <v>Sep</v>
      </c>
      <c r="N324">
        <f t="shared" si="11"/>
        <v>2025</v>
      </c>
    </row>
    <row r="325" spans="1:14" x14ac:dyDescent="0.3">
      <c r="A325" t="s">
        <v>603</v>
      </c>
      <c r="B325" s="5">
        <v>45748</v>
      </c>
      <c r="C325" t="s">
        <v>37</v>
      </c>
      <c r="D325" t="s">
        <v>23</v>
      </c>
      <c r="E325" t="s">
        <v>24</v>
      </c>
      <c r="F325" t="s">
        <v>25</v>
      </c>
      <c r="G325" t="s">
        <v>26</v>
      </c>
      <c r="H325" t="s">
        <v>27</v>
      </c>
      <c r="I325">
        <v>19018</v>
      </c>
      <c r="J325">
        <v>7</v>
      </c>
      <c r="K325" t="s">
        <v>20</v>
      </c>
      <c r="L325">
        <v>2029.79</v>
      </c>
      <c r="M325" t="str">
        <f t="shared" si="10"/>
        <v>Apr</v>
      </c>
      <c r="N325">
        <f t="shared" si="11"/>
        <v>2025</v>
      </c>
    </row>
    <row r="326" spans="1:14" x14ac:dyDescent="0.3">
      <c r="A326" t="s">
        <v>605</v>
      </c>
      <c r="B326" s="5">
        <v>45662</v>
      </c>
      <c r="C326" t="s">
        <v>37</v>
      </c>
      <c r="D326" t="s">
        <v>23</v>
      </c>
      <c r="E326" t="s">
        <v>24</v>
      </c>
      <c r="F326" t="s">
        <v>17</v>
      </c>
      <c r="G326" t="s">
        <v>104</v>
      </c>
      <c r="H326" t="s">
        <v>105</v>
      </c>
      <c r="I326">
        <v>62972</v>
      </c>
      <c r="J326">
        <v>1</v>
      </c>
      <c r="K326" t="s">
        <v>49</v>
      </c>
      <c r="L326">
        <v>12641.89</v>
      </c>
      <c r="M326" t="str">
        <f t="shared" si="10"/>
        <v>Jan</v>
      </c>
      <c r="N326">
        <f t="shared" si="11"/>
        <v>2025</v>
      </c>
    </row>
    <row r="327" spans="1:14" x14ac:dyDescent="0.3">
      <c r="A327" t="s">
        <v>607</v>
      </c>
      <c r="B327" s="5">
        <v>45958</v>
      </c>
      <c r="C327" t="s">
        <v>121</v>
      </c>
      <c r="D327" t="s">
        <v>32</v>
      </c>
      <c r="E327" t="s">
        <v>33</v>
      </c>
      <c r="F327" t="s">
        <v>46</v>
      </c>
      <c r="G327" t="s">
        <v>94</v>
      </c>
      <c r="H327" t="s">
        <v>95</v>
      </c>
      <c r="I327">
        <v>69905</v>
      </c>
      <c r="J327">
        <v>10</v>
      </c>
      <c r="K327" t="s">
        <v>28</v>
      </c>
      <c r="L327">
        <v>13482.22</v>
      </c>
      <c r="M327" t="str">
        <f t="shared" si="10"/>
        <v>Oct</v>
      </c>
      <c r="N327">
        <f t="shared" si="11"/>
        <v>2025</v>
      </c>
    </row>
    <row r="328" spans="1:14" x14ac:dyDescent="0.3">
      <c r="A328" t="s">
        <v>609</v>
      </c>
      <c r="B328" s="5">
        <v>45908</v>
      </c>
      <c r="C328" t="s">
        <v>63</v>
      </c>
      <c r="D328" t="s">
        <v>15</v>
      </c>
      <c r="E328" t="s">
        <v>73</v>
      </c>
      <c r="F328" t="s">
        <v>25</v>
      </c>
      <c r="G328" t="s">
        <v>26</v>
      </c>
      <c r="H328" t="s">
        <v>27</v>
      </c>
      <c r="I328">
        <v>65797</v>
      </c>
      <c r="J328">
        <v>4</v>
      </c>
      <c r="K328" t="s">
        <v>28</v>
      </c>
      <c r="L328">
        <v>6259.17</v>
      </c>
      <c r="M328" t="str">
        <f t="shared" si="10"/>
        <v>Sep</v>
      </c>
      <c r="N328">
        <f t="shared" si="11"/>
        <v>2025</v>
      </c>
    </row>
    <row r="329" spans="1:14" x14ac:dyDescent="0.3">
      <c r="A329" t="s">
        <v>611</v>
      </c>
      <c r="B329" s="5">
        <v>45892</v>
      </c>
      <c r="C329" t="s">
        <v>121</v>
      </c>
      <c r="D329" t="s">
        <v>32</v>
      </c>
      <c r="E329" t="s">
        <v>116</v>
      </c>
      <c r="F329" t="s">
        <v>17</v>
      </c>
      <c r="G329" t="s">
        <v>76</v>
      </c>
      <c r="H329" t="s">
        <v>77</v>
      </c>
      <c r="I329">
        <v>52419</v>
      </c>
      <c r="J329">
        <v>6</v>
      </c>
      <c r="K329" t="s">
        <v>53</v>
      </c>
      <c r="L329">
        <v>5805.02</v>
      </c>
      <c r="M329" t="str">
        <f t="shared" si="10"/>
        <v>Aug</v>
      </c>
      <c r="N329">
        <f t="shared" si="11"/>
        <v>2025</v>
      </c>
    </row>
    <row r="330" spans="1:14" x14ac:dyDescent="0.3">
      <c r="A330" t="s">
        <v>613</v>
      </c>
      <c r="B330" s="5">
        <v>45940</v>
      </c>
      <c r="C330" t="s">
        <v>37</v>
      </c>
      <c r="D330" t="s">
        <v>32</v>
      </c>
      <c r="E330" t="s">
        <v>45</v>
      </c>
      <c r="F330" t="s">
        <v>25</v>
      </c>
      <c r="G330" t="s">
        <v>57</v>
      </c>
      <c r="H330" t="s">
        <v>58</v>
      </c>
      <c r="I330">
        <v>17059</v>
      </c>
      <c r="J330">
        <v>7</v>
      </c>
      <c r="K330" t="s">
        <v>28</v>
      </c>
      <c r="L330">
        <v>2073.4699999999998</v>
      </c>
      <c r="M330" t="str">
        <f t="shared" si="10"/>
        <v>Oct</v>
      </c>
      <c r="N330">
        <f t="shared" si="11"/>
        <v>2025</v>
      </c>
    </row>
    <row r="331" spans="1:14" x14ac:dyDescent="0.3">
      <c r="A331" t="s">
        <v>615</v>
      </c>
      <c r="B331" s="5">
        <v>45680</v>
      </c>
      <c r="C331" t="s">
        <v>121</v>
      </c>
      <c r="D331" t="s">
        <v>32</v>
      </c>
      <c r="E331" t="s">
        <v>116</v>
      </c>
      <c r="F331" t="s">
        <v>25</v>
      </c>
      <c r="G331" t="s">
        <v>26</v>
      </c>
      <c r="H331" t="s">
        <v>27</v>
      </c>
      <c r="I331">
        <v>36373</v>
      </c>
      <c r="J331">
        <v>6</v>
      </c>
      <c r="K331" t="s">
        <v>53</v>
      </c>
      <c r="L331">
        <v>5328.88</v>
      </c>
      <c r="M331" t="str">
        <f t="shared" si="10"/>
        <v>Jan</v>
      </c>
      <c r="N331">
        <f t="shared" si="11"/>
        <v>2025</v>
      </c>
    </row>
    <row r="332" spans="1:14" x14ac:dyDescent="0.3">
      <c r="A332" t="s">
        <v>617</v>
      </c>
      <c r="B332" s="5">
        <v>45892</v>
      </c>
      <c r="C332" t="s">
        <v>91</v>
      </c>
      <c r="D332" t="s">
        <v>38</v>
      </c>
      <c r="E332" t="s">
        <v>39</v>
      </c>
      <c r="F332" t="s">
        <v>25</v>
      </c>
      <c r="G332" t="s">
        <v>26</v>
      </c>
      <c r="H332" t="s">
        <v>27</v>
      </c>
      <c r="I332">
        <v>75216</v>
      </c>
      <c r="J332">
        <v>9</v>
      </c>
      <c r="K332" t="s">
        <v>53</v>
      </c>
      <c r="L332">
        <v>10143.31</v>
      </c>
      <c r="M332" t="str">
        <f t="shared" si="10"/>
        <v>Aug</v>
      </c>
      <c r="N332">
        <f t="shared" si="11"/>
        <v>2025</v>
      </c>
    </row>
    <row r="333" spans="1:14" x14ac:dyDescent="0.3">
      <c r="A333" t="s">
        <v>618</v>
      </c>
      <c r="B333" s="5">
        <v>45929</v>
      </c>
      <c r="C333" t="s">
        <v>63</v>
      </c>
      <c r="D333" t="s">
        <v>38</v>
      </c>
      <c r="E333" t="s">
        <v>67</v>
      </c>
      <c r="F333" t="s">
        <v>17</v>
      </c>
      <c r="G333" t="s">
        <v>76</v>
      </c>
      <c r="H333" t="s">
        <v>77</v>
      </c>
      <c r="I333">
        <v>8670</v>
      </c>
      <c r="J333">
        <v>2</v>
      </c>
      <c r="K333" t="s">
        <v>20</v>
      </c>
      <c r="L333">
        <v>1202.78</v>
      </c>
      <c r="M333" t="str">
        <f t="shared" si="10"/>
        <v>Sep</v>
      </c>
      <c r="N333">
        <f t="shared" si="11"/>
        <v>2025</v>
      </c>
    </row>
    <row r="334" spans="1:14" x14ac:dyDescent="0.3">
      <c r="A334" t="s">
        <v>619</v>
      </c>
      <c r="B334" s="5">
        <v>46002</v>
      </c>
      <c r="C334" t="s">
        <v>44</v>
      </c>
      <c r="D334" t="s">
        <v>23</v>
      </c>
      <c r="E334" t="s">
        <v>24</v>
      </c>
      <c r="F334" t="s">
        <v>17</v>
      </c>
      <c r="G334" t="s">
        <v>18</v>
      </c>
      <c r="H334" t="s">
        <v>19</v>
      </c>
      <c r="I334">
        <v>43387</v>
      </c>
      <c r="J334">
        <v>3</v>
      </c>
      <c r="K334" t="s">
        <v>28</v>
      </c>
      <c r="L334">
        <v>11164.93</v>
      </c>
      <c r="M334" t="str">
        <f t="shared" si="10"/>
        <v>Dec</v>
      </c>
      <c r="N334">
        <f t="shared" si="11"/>
        <v>2025</v>
      </c>
    </row>
    <row r="335" spans="1:14" x14ac:dyDescent="0.3">
      <c r="A335" t="s">
        <v>621</v>
      </c>
      <c r="B335" s="5">
        <v>45978</v>
      </c>
      <c r="C335" t="s">
        <v>121</v>
      </c>
      <c r="D335" t="s">
        <v>38</v>
      </c>
      <c r="E335" t="s">
        <v>67</v>
      </c>
      <c r="F335" t="s">
        <v>25</v>
      </c>
      <c r="G335" t="s">
        <v>26</v>
      </c>
      <c r="H335" t="s">
        <v>27</v>
      </c>
      <c r="I335">
        <v>14847</v>
      </c>
      <c r="J335">
        <v>1</v>
      </c>
      <c r="K335" t="s">
        <v>20</v>
      </c>
      <c r="L335">
        <v>2596.33</v>
      </c>
      <c r="M335" t="str">
        <f t="shared" si="10"/>
        <v>Nov</v>
      </c>
      <c r="N335">
        <f t="shared" si="11"/>
        <v>2025</v>
      </c>
    </row>
    <row r="336" spans="1:14" x14ac:dyDescent="0.3">
      <c r="A336" t="s">
        <v>622</v>
      </c>
      <c r="B336" s="5">
        <v>45910</v>
      </c>
      <c r="C336" t="s">
        <v>44</v>
      </c>
      <c r="D336" t="s">
        <v>32</v>
      </c>
      <c r="E336" t="s">
        <v>116</v>
      </c>
      <c r="F336" t="s">
        <v>17</v>
      </c>
      <c r="G336" t="s">
        <v>18</v>
      </c>
      <c r="H336" t="s">
        <v>19</v>
      </c>
      <c r="I336">
        <v>29356</v>
      </c>
      <c r="J336">
        <v>6</v>
      </c>
      <c r="K336" t="s">
        <v>28</v>
      </c>
      <c r="L336">
        <v>2587.69</v>
      </c>
      <c r="M336" t="str">
        <f t="shared" si="10"/>
        <v>Sep</v>
      </c>
      <c r="N336">
        <f t="shared" si="11"/>
        <v>2025</v>
      </c>
    </row>
    <row r="337" spans="1:14" x14ac:dyDescent="0.3">
      <c r="A337" t="s">
        <v>624</v>
      </c>
      <c r="B337" s="5">
        <v>45898</v>
      </c>
      <c r="C337" t="s">
        <v>37</v>
      </c>
      <c r="D337" t="s">
        <v>15</v>
      </c>
      <c r="E337" t="s">
        <v>154</v>
      </c>
      <c r="F337" t="s">
        <v>17</v>
      </c>
      <c r="G337" t="s">
        <v>18</v>
      </c>
      <c r="H337" t="s">
        <v>19</v>
      </c>
      <c r="I337">
        <v>59649</v>
      </c>
      <c r="J337">
        <v>3</v>
      </c>
      <c r="K337" t="s">
        <v>49</v>
      </c>
      <c r="L337">
        <v>8654.6299999999992</v>
      </c>
      <c r="M337" t="str">
        <f t="shared" si="10"/>
        <v>Aug</v>
      </c>
      <c r="N337">
        <f t="shared" si="11"/>
        <v>2025</v>
      </c>
    </row>
    <row r="338" spans="1:14" x14ac:dyDescent="0.3">
      <c r="A338" t="s">
        <v>625</v>
      </c>
      <c r="B338" s="5">
        <v>45812</v>
      </c>
      <c r="C338" t="s">
        <v>66</v>
      </c>
      <c r="D338" t="s">
        <v>32</v>
      </c>
      <c r="E338" t="s">
        <v>116</v>
      </c>
      <c r="F338" t="s">
        <v>25</v>
      </c>
      <c r="G338" t="s">
        <v>40</v>
      </c>
      <c r="H338" t="s">
        <v>41</v>
      </c>
      <c r="I338">
        <v>45170</v>
      </c>
      <c r="J338">
        <v>3</v>
      </c>
      <c r="K338" t="s">
        <v>28</v>
      </c>
      <c r="L338">
        <v>6546.02</v>
      </c>
      <c r="M338" t="str">
        <f t="shared" si="10"/>
        <v>Jun</v>
      </c>
      <c r="N338">
        <f t="shared" si="11"/>
        <v>2025</v>
      </c>
    </row>
    <row r="339" spans="1:14" x14ac:dyDescent="0.3">
      <c r="A339" t="s">
        <v>627</v>
      </c>
      <c r="B339" s="5">
        <v>45871</v>
      </c>
      <c r="C339" t="s">
        <v>31</v>
      </c>
      <c r="D339" t="s">
        <v>32</v>
      </c>
      <c r="E339" t="s">
        <v>33</v>
      </c>
      <c r="F339" t="s">
        <v>17</v>
      </c>
      <c r="G339" t="s">
        <v>18</v>
      </c>
      <c r="H339" t="s">
        <v>19</v>
      </c>
      <c r="I339">
        <v>44949</v>
      </c>
      <c r="J339">
        <v>2</v>
      </c>
      <c r="K339" t="s">
        <v>49</v>
      </c>
      <c r="L339">
        <v>8918.7099999999991</v>
      </c>
      <c r="M339" t="str">
        <f t="shared" si="10"/>
        <v>Aug</v>
      </c>
      <c r="N339">
        <f t="shared" si="11"/>
        <v>2025</v>
      </c>
    </row>
    <row r="340" spans="1:14" x14ac:dyDescent="0.3">
      <c r="A340" t="s">
        <v>628</v>
      </c>
      <c r="B340" s="5">
        <v>45873</v>
      </c>
      <c r="C340" t="s">
        <v>44</v>
      </c>
      <c r="D340" t="s">
        <v>23</v>
      </c>
      <c r="E340" t="s">
        <v>82</v>
      </c>
      <c r="F340" t="s">
        <v>46</v>
      </c>
      <c r="G340" t="s">
        <v>47</v>
      </c>
      <c r="H340" t="s">
        <v>48</v>
      </c>
      <c r="I340">
        <v>78791</v>
      </c>
      <c r="J340">
        <v>8</v>
      </c>
      <c r="K340" t="s">
        <v>49</v>
      </c>
      <c r="L340">
        <v>16085.13</v>
      </c>
      <c r="M340" t="str">
        <f t="shared" si="10"/>
        <v>Aug</v>
      </c>
      <c r="N340">
        <f t="shared" si="11"/>
        <v>2025</v>
      </c>
    </row>
    <row r="341" spans="1:14" x14ac:dyDescent="0.3">
      <c r="A341" t="s">
        <v>629</v>
      </c>
      <c r="B341" s="5">
        <v>45852</v>
      </c>
      <c r="C341" t="s">
        <v>31</v>
      </c>
      <c r="D341" t="s">
        <v>32</v>
      </c>
      <c r="E341" t="s">
        <v>45</v>
      </c>
      <c r="F341" t="s">
        <v>25</v>
      </c>
      <c r="G341" t="s">
        <v>57</v>
      </c>
      <c r="H341" t="s">
        <v>58</v>
      </c>
      <c r="I341">
        <v>5082</v>
      </c>
      <c r="J341">
        <v>2</v>
      </c>
      <c r="K341" t="s">
        <v>34</v>
      </c>
      <c r="L341">
        <v>1215.1300000000001</v>
      </c>
      <c r="M341" t="str">
        <f t="shared" si="10"/>
        <v>Jul</v>
      </c>
      <c r="N341">
        <f t="shared" si="11"/>
        <v>2025</v>
      </c>
    </row>
    <row r="342" spans="1:14" x14ac:dyDescent="0.3">
      <c r="A342" t="s">
        <v>630</v>
      </c>
      <c r="B342" s="5">
        <v>45879</v>
      </c>
      <c r="C342" t="s">
        <v>66</v>
      </c>
      <c r="D342" t="s">
        <v>15</v>
      </c>
      <c r="E342" t="s">
        <v>154</v>
      </c>
      <c r="F342" t="s">
        <v>17</v>
      </c>
      <c r="G342" t="s">
        <v>18</v>
      </c>
      <c r="H342" t="s">
        <v>19</v>
      </c>
      <c r="I342">
        <v>12931</v>
      </c>
      <c r="J342">
        <v>10</v>
      </c>
      <c r="K342" t="s">
        <v>28</v>
      </c>
      <c r="L342">
        <v>1056.07</v>
      </c>
      <c r="M342" t="str">
        <f t="shared" si="10"/>
        <v>Aug</v>
      </c>
      <c r="N342">
        <f t="shared" si="11"/>
        <v>2025</v>
      </c>
    </row>
    <row r="343" spans="1:14" x14ac:dyDescent="0.3">
      <c r="A343" t="s">
        <v>632</v>
      </c>
      <c r="B343" s="5">
        <v>45703</v>
      </c>
      <c r="C343" t="s">
        <v>31</v>
      </c>
      <c r="D343" t="s">
        <v>32</v>
      </c>
      <c r="E343" t="s">
        <v>116</v>
      </c>
      <c r="F343" t="s">
        <v>25</v>
      </c>
      <c r="G343" t="s">
        <v>57</v>
      </c>
      <c r="H343" t="s">
        <v>58</v>
      </c>
      <c r="I343">
        <v>68113</v>
      </c>
      <c r="J343">
        <v>10</v>
      </c>
      <c r="K343" t="s">
        <v>34</v>
      </c>
      <c r="L343">
        <v>12275.15</v>
      </c>
      <c r="M343" t="str">
        <f t="shared" si="10"/>
        <v>Feb</v>
      </c>
      <c r="N343">
        <f t="shared" si="11"/>
        <v>2025</v>
      </c>
    </row>
    <row r="344" spans="1:14" x14ac:dyDescent="0.3">
      <c r="A344" t="s">
        <v>633</v>
      </c>
      <c r="B344" s="5">
        <v>45670</v>
      </c>
      <c r="C344" t="s">
        <v>66</v>
      </c>
      <c r="D344" t="s">
        <v>32</v>
      </c>
      <c r="E344" t="s">
        <v>116</v>
      </c>
      <c r="F344" t="s">
        <v>17</v>
      </c>
      <c r="G344" t="s">
        <v>18</v>
      </c>
      <c r="H344" t="s">
        <v>19</v>
      </c>
      <c r="I344">
        <v>22254</v>
      </c>
      <c r="J344">
        <v>9</v>
      </c>
      <c r="K344" t="s">
        <v>49</v>
      </c>
      <c r="L344">
        <v>2569.37</v>
      </c>
      <c r="M344" t="str">
        <f t="shared" si="10"/>
        <v>Jan</v>
      </c>
      <c r="N344">
        <f t="shared" si="11"/>
        <v>2025</v>
      </c>
    </row>
    <row r="345" spans="1:14" x14ac:dyDescent="0.3">
      <c r="A345" t="s">
        <v>635</v>
      </c>
      <c r="B345" s="5">
        <v>45890</v>
      </c>
      <c r="C345" t="s">
        <v>14</v>
      </c>
      <c r="D345" t="s">
        <v>38</v>
      </c>
      <c r="E345" t="s">
        <v>39</v>
      </c>
      <c r="F345" t="s">
        <v>17</v>
      </c>
      <c r="G345" t="s">
        <v>18</v>
      </c>
      <c r="H345" t="s">
        <v>19</v>
      </c>
      <c r="I345">
        <v>29697</v>
      </c>
      <c r="J345">
        <v>9</v>
      </c>
      <c r="K345" t="s">
        <v>34</v>
      </c>
      <c r="L345">
        <v>2156.38</v>
      </c>
      <c r="M345" t="str">
        <f t="shared" si="10"/>
        <v>Aug</v>
      </c>
      <c r="N345">
        <f t="shared" si="11"/>
        <v>2025</v>
      </c>
    </row>
    <row r="346" spans="1:14" x14ac:dyDescent="0.3">
      <c r="A346" t="s">
        <v>637</v>
      </c>
      <c r="B346" s="5">
        <v>45740</v>
      </c>
      <c r="C346" t="s">
        <v>44</v>
      </c>
      <c r="D346" t="s">
        <v>23</v>
      </c>
      <c r="E346" t="s">
        <v>24</v>
      </c>
      <c r="F346" t="s">
        <v>46</v>
      </c>
      <c r="G346" t="s">
        <v>87</v>
      </c>
      <c r="H346" t="s">
        <v>88</v>
      </c>
      <c r="I346">
        <v>73329</v>
      </c>
      <c r="J346">
        <v>3</v>
      </c>
      <c r="K346" t="s">
        <v>49</v>
      </c>
      <c r="L346">
        <v>15786.5</v>
      </c>
      <c r="M346" t="str">
        <f t="shared" si="10"/>
        <v>Mar</v>
      </c>
      <c r="N346">
        <f t="shared" si="11"/>
        <v>2025</v>
      </c>
    </row>
    <row r="347" spans="1:14" x14ac:dyDescent="0.3">
      <c r="A347" t="s">
        <v>638</v>
      </c>
      <c r="B347" s="5">
        <v>45861</v>
      </c>
      <c r="C347" t="s">
        <v>37</v>
      </c>
      <c r="D347" t="s">
        <v>32</v>
      </c>
      <c r="E347" t="s">
        <v>33</v>
      </c>
      <c r="F347" t="s">
        <v>17</v>
      </c>
      <c r="G347" t="s">
        <v>18</v>
      </c>
      <c r="H347" t="s">
        <v>19</v>
      </c>
      <c r="I347">
        <v>61233</v>
      </c>
      <c r="J347">
        <v>9</v>
      </c>
      <c r="K347" t="s">
        <v>34</v>
      </c>
      <c r="L347">
        <v>9858.48</v>
      </c>
      <c r="M347" t="str">
        <f t="shared" si="10"/>
        <v>Jul</v>
      </c>
      <c r="N347">
        <f t="shared" si="11"/>
        <v>2025</v>
      </c>
    </row>
    <row r="348" spans="1:14" x14ac:dyDescent="0.3">
      <c r="A348" t="s">
        <v>639</v>
      </c>
      <c r="B348" s="5">
        <v>45906</v>
      </c>
      <c r="C348" t="s">
        <v>14</v>
      </c>
      <c r="D348" t="s">
        <v>38</v>
      </c>
      <c r="E348" t="s">
        <v>67</v>
      </c>
      <c r="F348" t="s">
        <v>46</v>
      </c>
      <c r="G348" t="s">
        <v>47</v>
      </c>
      <c r="H348" t="s">
        <v>48</v>
      </c>
      <c r="I348">
        <v>60656</v>
      </c>
      <c r="J348">
        <v>6</v>
      </c>
      <c r="K348" t="s">
        <v>34</v>
      </c>
      <c r="L348">
        <v>5379.9</v>
      </c>
      <c r="M348" t="str">
        <f t="shared" si="10"/>
        <v>Sep</v>
      </c>
      <c r="N348">
        <f t="shared" si="11"/>
        <v>2025</v>
      </c>
    </row>
    <row r="349" spans="1:14" x14ac:dyDescent="0.3">
      <c r="A349" t="s">
        <v>640</v>
      </c>
      <c r="B349" s="5">
        <v>45694</v>
      </c>
      <c r="C349" t="s">
        <v>63</v>
      </c>
      <c r="D349" t="s">
        <v>32</v>
      </c>
      <c r="E349" t="s">
        <v>33</v>
      </c>
      <c r="F349" t="s">
        <v>17</v>
      </c>
      <c r="G349" t="s">
        <v>76</v>
      </c>
      <c r="H349" t="s">
        <v>77</v>
      </c>
      <c r="I349">
        <v>40156</v>
      </c>
      <c r="J349">
        <v>6</v>
      </c>
      <c r="K349" t="s">
        <v>28</v>
      </c>
      <c r="L349">
        <v>5337.39</v>
      </c>
      <c r="M349" t="str">
        <f t="shared" si="10"/>
        <v>Feb</v>
      </c>
      <c r="N349">
        <f t="shared" si="11"/>
        <v>2025</v>
      </c>
    </row>
    <row r="350" spans="1:14" x14ac:dyDescent="0.3">
      <c r="A350" t="s">
        <v>642</v>
      </c>
      <c r="B350" s="5">
        <v>45865</v>
      </c>
      <c r="C350" t="s">
        <v>66</v>
      </c>
      <c r="D350" t="s">
        <v>23</v>
      </c>
      <c r="E350" t="s">
        <v>129</v>
      </c>
      <c r="F350" t="s">
        <v>46</v>
      </c>
      <c r="G350" t="s">
        <v>87</v>
      </c>
      <c r="H350" t="s">
        <v>88</v>
      </c>
      <c r="I350">
        <v>74936</v>
      </c>
      <c r="J350">
        <v>7</v>
      </c>
      <c r="K350" t="s">
        <v>34</v>
      </c>
      <c r="L350">
        <v>8370.57</v>
      </c>
      <c r="M350" t="str">
        <f t="shared" si="10"/>
        <v>Jul</v>
      </c>
      <c r="N350">
        <f t="shared" si="11"/>
        <v>2025</v>
      </c>
    </row>
    <row r="351" spans="1:14" x14ac:dyDescent="0.3">
      <c r="A351" t="s">
        <v>644</v>
      </c>
      <c r="B351" s="5">
        <v>45933</v>
      </c>
      <c r="C351" t="s">
        <v>121</v>
      </c>
      <c r="D351" t="s">
        <v>32</v>
      </c>
      <c r="E351" t="s">
        <v>33</v>
      </c>
      <c r="F351" t="s">
        <v>17</v>
      </c>
      <c r="G351" t="s">
        <v>18</v>
      </c>
      <c r="H351" t="s">
        <v>19</v>
      </c>
      <c r="I351">
        <v>71551</v>
      </c>
      <c r="J351">
        <v>4</v>
      </c>
      <c r="K351" t="s">
        <v>53</v>
      </c>
      <c r="L351">
        <v>18077.09</v>
      </c>
      <c r="M351" t="str">
        <f t="shared" si="10"/>
        <v>Oct</v>
      </c>
      <c r="N351">
        <f t="shared" si="11"/>
        <v>2025</v>
      </c>
    </row>
    <row r="352" spans="1:14" x14ac:dyDescent="0.3">
      <c r="A352" t="s">
        <v>646</v>
      </c>
      <c r="B352" s="5">
        <v>45709</v>
      </c>
      <c r="C352" t="s">
        <v>37</v>
      </c>
      <c r="D352" t="s">
        <v>32</v>
      </c>
      <c r="E352" t="s">
        <v>45</v>
      </c>
      <c r="F352" t="s">
        <v>25</v>
      </c>
      <c r="G352" t="s">
        <v>57</v>
      </c>
      <c r="H352" t="s">
        <v>58</v>
      </c>
      <c r="I352">
        <v>4558</v>
      </c>
      <c r="J352">
        <v>1</v>
      </c>
      <c r="K352" t="s">
        <v>20</v>
      </c>
      <c r="L352">
        <v>1216.48</v>
      </c>
      <c r="M352" t="str">
        <f t="shared" si="10"/>
        <v>Feb</v>
      </c>
      <c r="N352">
        <f t="shared" si="11"/>
        <v>2025</v>
      </c>
    </row>
    <row r="353" spans="1:14" x14ac:dyDescent="0.3">
      <c r="A353" t="s">
        <v>648</v>
      </c>
      <c r="B353" s="5">
        <v>45996</v>
      </c>
      <c r="C353" t="s">
        <v>37</v>
      </c>
      <c r="D353" t="s">
        <v>15</v>
      </c>
      <c r="E353" t="s">
        <v>154</v>
      </c>
      <c r="F353" t="s">
        <v>17</v>
      </c>
      <c r="G353" t="s">
        <v>76</v>
      </c>
      <c r="H353" t="s">
        <v>77</v>
      </c>
      <c r="I353">
        <v>61021</v>
      </c>
      <c r="J353">
        <v>2</v>
      </c>
      <c r="K353" t="s">
        <v>49</v>
      </c>
      <c r="L353">
        <v>15209.7</v>
      </c>
      <c r="M353" t="str">
        <f t="shared" si="10"/>
        <v>Dec</v>
      </c>
      <c r="N353">
        <f t="shared" si="11"/>
        <v>2025</v>
      </c>
    </row>
    <row r="354" spans="1:14" x14ac:dyDescent="0.3">
      <c r="A354" t="s">
        <v>649</v>
      </c>
      <c r="B354" s="5">
        <v>45696</v>
      </c>
      <c r="C354" t="s">
        <v>63</v>
      </c>
      <c r="D354" t="s">
        <v>23</v>
      </c>
      <c r="E354" t="s">
        <v>82</v>
      </c>
      <c r="F354" t="s">
        <v>46</v>
      </c>
      <c r="G354" t="s">
        <v>87</v>
      </c>
      <c r="H354" t="s">
        <v>88</v>
      </c>
      <c r="I354">
        <v>18514</v>
      </c>
      <c r="J354">
        <v>1</v>
      </c>
      <c r="K354" t="s">
        <v>53</v>
      </c>
      <c r="L354">
        <v>2760.5</v>
      </c>
      <c r="M354" t="str">
        <f t="shared" si="10"/>
        <v>Feb</v>
      </c>
      <c r="N354">
        <f t="shared" si="11"/>
        <v>2025</v>
      </c>
    </row>
    <row r="355" spans="1:14" x14ac:dyDescent="0.3">
      <c r="A355" t="s">
        <v>650</v>
      </c>
      <c r="B355" s="5">
        <v>45880</v>
      </c>
      <c r="C355" t="s">
        <v>91</v>
      </c>
      <c r="D355" t="s">
        <v>38</v>
      </c>
      <c r="E355" t="s">
        <v>67</v>
      </c>
      <c r="F355" t="s">
        <v>25</v>
      </c>
      <c r="G355" t="s">
        <v>40</v>
      </c>
      <c r="H355" t="s">
        <v>41</v>
      </c>
      <c r="I355">
        <v>6584</v>
      </c>
      <c r="J355">
        <v>7</v>
      </c>
      <c r="K355" t="s">
        <v>49</v>
      </c>
      <c r="L355">
        <v>1234.71</v>
      </c>
      <c r="M355" t="str">
        <f t="shared" si="10"/>
        <v>Aug</v>
      </c>
      <c r="N355">
        <f t="shared" si="11"/>
        <v>2025</v>
      </c>
    </row>
    <row r="356" spans="1:14" x14ac:dyDescent="0.3">
      <c r="A356" t="s">
        <v>651</v>
      </c>
      <c r="B356" s="5">
        <v>46013</v>
      </c>
      <c r="C356" t="s">
        <v>31</v>
      </c>
      <c r="D356" t="s">
        <v>15</v>
      </c>
      <c r="E356" t="s">
        <v>16</v>
      </c>
      <c r="F356" t="s">
        <v>17</v>
      </c>
      <c r="G356" t="s">
        <v>76</v>
      </c>
      <c r="H356" t="s">
        <v>77</v>
      </c>
      <c r="I356">
        <v>22510</v>
      </c>
      <c r="J356">
        <v>4</v>
      </c>
      <c r="K356" t="s">
        <v>53</v>
      </c>
      <c r="L356">
        <v>5512.95</v>
      </c>
      <c r="M356" t="str">
        <f t="shared" si="10"/>
        <v>Dec</v>
      </c>
      <c r="N356">
        <f t="shared" si="11"/>
        <v>2025</v>
      </c>
    </row>
    <row r="357" spans="1:14" x14ac:dyDescent="0.3">
      <c r="A357" t="s">
        <v>653</v>
      </c>
      <c r="B357" s="5">
        <v>45949</v>
      </c>
      <c r="C357" t="s">
        <v>14</v>
      </c>
      <c r="D357" t="s">
        <v>38</v>
      </c>
      <c r="E357" t="s">
        <v>52</v>
      </c>
      <c r="F357" t="s">
        <v>46</v>
      </c>
      <c r="G357" t="s">
        <v>47</v>
      </c>
      <c r="H357" t="s">
        <v>48</v>
      </c>
      <c r="I357">
        <v>22330</v>
      </c>
      <c r="J357">
        <v>2</v>
      </c>
      <c r="K357" t="s">
        <v>53</v>
      </c>
      <c r="L357">
        <v>1592.56</v>
      </c>
      <c r="M357" t="str">
        <f t="shared" si="10"/>
        <v>Oct</v>
      </c>
      <c r="N357">
        <f t="shared" si="11"/>
        <v>2025</v>
      </c>
    </row>
    <row r="358" spans="1:14" x14ac:dyDescent="0.3">
      <c r="A358" t="s">
        <v>655</v>
      </c>
      <c r="B358" s="5">
        <v>45857</v>
      </c>
      <c r="C358" t="s">
        <v>44</v>
      </c>
      <c r="D358" t="s">
        <v>23</v>
      </c>
      <c r="E358" t="s">
        <v>129</v>
      </c>
      <c r="F358" t="s">
        <v>25</v>
      </c>
      <c r="G358" t="s">
        <v>40</v>
      </c>
      <c r="H358" t="s">
        <v>41</v>
      </c>
      <c r="I358">
        <v>3691</v>
      </c>
      <c r="J358">
        <v>4</v>
      </c>
      <c r="K358" t="s">
        <v>28</v>
      </c>
      <c r="L358">
        <v>789.02</v>
      </c>
      <c r="M358" t="str">
        <f t="shared" si="10"/>
        <v>Jul</v>
      </c>
      <c r="N358">
        <f t="shared" si="11"/>
        <v>2025</v>
      </c>
    </row>
    <row r="359" spans="1:14" x14ac:dyDescent="0.3">
      <c r="A359" t="s">
        <v>657</v>
      </c>
      <c r="B359" s="5">
        <v>45999</v>
      </c>
      <c r="C359" t="s">
        <v>14</v>
      </c>
      <c r="D359" t="s">
        <v>32</v>
      </c>
      <c r="E359" t="s">
        <v>116</v>
      </c>
      <c r="F359" t="s">
        <v>46</v>
      </c>
      <c r="G359" t="s">
        <v>94</v>
      </c>
      <c r="H359" t="s">
        <v>95</v>
      </c>
      <c r="I359">
        <v>72996</v>
      </c>
      <c r="J359">
        <v>5</v>
      </c>
      <c r="K359" t="s">
        <v>28</v>
      </c>
      <c r="L359">
        <v>18409.669999999998</v>
      </c>
      <c r="M359" t="str">
        <f t="shared" si="10"/>
        <v>Dec</v>
      </c>
      <c r="N359">
        <f t="shared" si="11"/>
        <v>2025</v>
      </c>
    </row>
    <row r="360" spans="1:14" x14ac:dyDescent="0.3">
      <c r="A360" t="s">
        <v>658</v>
      </c>
      <c r="B360" s="5">
        <v>45943</v>
      </c>
      <c r="C360" t="s">
        <v>66</v>
      </c>
      <c r="D360" t="s">
        <v>23</v>
      </c>
      <c r="E360" t="s">
        <v>24</v>
      </c>
      <c r="F360" t="s">
        <v>25</v>
      </c>
      <c r="G360" t="s">
        <v>40</v>
      </c>
      <c r="H360" t="s">
        <v>41</v>
      </c>
      <c r="I360">
        <v>46929</v>
      </c>
      <c r="J360">
        <v>7</v>
      </c>
      <c r="K360" t="s">
        <v>49</v>
      </c>
      <c r="L360">
        <v>8622.49</v>
      </c>
      <c r="M360" t="str">
        <f t="shared" si="10"/>
        <v>Oct</v>
      </c>
      <c r="N360">
        <f t="shared" si="11"/>
        <v>2025</v>
      </c>
    </row>
    <row r="361" spans="1:14" x14ac:dyDescent="0.3">
      <c r="A361" t="s">
        <v>660</v>
      </c>
      <c r="B361" s="5">
        <v>46017</v>
      </c>
      <c r="C361" t="s">
        <v>91</v>
      </c>
      <c r="D361" t="s">
        <v>38</v>
      </c>
      <c r="E361" t="s">
        <v>67</v>
      </c>
      <c r="F361" t="s">
        <v>25</v>
      </c>
      <c r="G361" t="s">
        <v>40</v>
      </c>
      <c r="H361" t="s">
        <v>41</v>
      </c>
      <c r="I361">
        <v>3321</v>
      </c>
      <c r="J361">
        <v>6</v>
      </c>
      <c r="K361" t="s">
        <v>34</v>
      </c>
      <c r="L361">
        <v>859.61</v>
      </c>
      <c r="M361" t="str">
        <f t="shared" si="10"/>
        <v>Dec</v>
      </c>
      <c r="N361">
        <f t="shared" si="11"/>
        <v>2025</v>
      </c>
    </row>
    <row r="362" spans="1:14" x14ac:dyDescent="0.3">
      <c r="A362" t="s">
        <v>662</v>
      </c>
      <c r="B362" s="5">
        <v>45778</v>
      </c>
      <c r="C362" t="s">
        <v>31</v>
      </c>
      <c r="D362" t="s">
        <v>32</v>
      </c>
      <c r="E362" t="s">
        <v>33</v>
      </c>
      <c r="F362" t="s">
        <v>17</v>
      </c>
      <c r="G362" t="s">
        <v>104</v>
      </c>
      <c r="H362" t="s">
        <v>105</v>
      </c>
      <c r="I362">
        <v>55155</v>
      </c>
      <c r="J362">
        <v>10</v>
      </c>
      <c r="K362" t="s">
        <v>20</v>
      </c>
      <c r="L362">
        <v>6594.01</v>
      </c>
      <c r="M362" t="str">
        <f t="shared" si="10"/>
        <v>May</v>
      </c>
      <c r="N362">
        <f t="shared" si="11"/>
        <v>2025</v>
      </c>
    </row>
    <row r="363" spans="1:14" x14ac:dyDescent="0.3">
      <c r="A363" t="s">
        <v>663</v>
      </c>
      <c r="B363" s="5">
        <v>45833</v>
      </c>
      <c r="C363" t="s">
        <v>63</v>
      </c>
      <c r="D363" t="s">
        <v>32</v>
      </c>
      <c r="E363" t="s">
        <v>116</v>
      </c>
      <c r="F363" t="s">
        <v>17</v>
      </c>
      <c r="G363" t="s">
        <v>76</v>
      </c>
      <c r="H363" t="s">
        <v>77</v>
      </c>
      <c r="I363">
        <v>59660</v>
      </c>
      <c r="J363">
        <v>6</v>
      </c>
      <c r="K363" t="s">
        <v>20</v>
      </c>
      <c r="L363">
        <v>5344.98</v>
      </c>
      <c r="M363" t="str">
        <f t="shared" si="10"/>
        <v>Jun</v>
      </c>
      <c r="N363">
        <f t="shared" si="11"/>
        <v>2025</v>
      </c>
    </row>
    <row r="364" spans="1:14" x14ac:dyDescent="0.3">
      <c r="A364" t="s">
        <v>665</v>
      </c>
      <c r="B364" s="5">
        <v>45692</v>
      </c>
      <c r="C364" t="s">
        <v>121</v>
      </c>
      <c r="D364" t="s">
        <v>15</v>
      </c>
      <c r="E364" t="s">
        <v>73</v>
      </c>
      <c r="F364" t="s">
        <v>25</v>
      </c>
      <c r="G364" t="s">
        <v>57</v>
      </c>
      <c r="H364" t="s">
        <v>58</v>
      </c>
      <c r="I364">
        <v>33372</v>
      </c>
      <c r="J364">
        <v>6</v>
      </c>
      <c r="K364" t="s">
        <v>20</v>
      </c>
      <c r="L364">
        <v>6026.3</v>
      </c>
      <c r="M364" t="str">
        <f t="shared" si="10"/>
        <v>Feb</v>
      </c>
      <c r="N364">
        <f t="shared" si="11"/>
        <v>2025</v>
      </c>
    </row>
    <row r="365" spans="1:14" x14ac:dyDescent="0.3">
      <c r="A365" t="s">
        <v>666</v>
      </c>
      <c r="B365" s="5">
        <v>45985</v>
      </c>
      <c r="C365" t="s">
        <v>121</v>
      </c>
      <c r="D365" t="s">
        <v>38</v>
      </c>
      <c r="E365" t="s">
        <v>39</v>
      </c>
      <c r="F365" t="s">
        <v>17</v>
      </c>
      <c r="G365" t="s">
        <v>18</v>
      </c>
      <c r="H365" t="s">
        <v>19</v>
      </c>
      <c r="I365">
        <v>39591</v>
      </c>
      <c r="J365">
        <v>6</v>
      </c>
      <c r="K365" t="s">
        <v>28</v>
      </c>
      <c r="L365">
        <v>4320.99</v>
      </c>
      <c r="M365" t="str">
        <f t="shared" si="10"/>
        <v>Nov</v>
      </c>
      <c r="N365">
        <f t="shared" si="11"/>
        <v>2025</v>
      </c>
    </row>
    <row r="366" spans="1:14" x14ac:dyDescent="0.3">
      <c r="A366" t="s">
        <v>667</v>
      </c>
      <c r="B366" s="5">
        <v>45909</v>
      </c>
      <c r="C366" t="s">
        <v>121</v>
      </c>
      <c r="D366" t="s">
        <v>32</v>
      </c>
      <c r="E366" t="s">
        <v>33</v>
      </c>
      <c r="F366" t="s">
        <v>46</v>
      </c>
      <c r="G366" t="s">
        <v>94</v>
      </c>
      <c r="H366" t="s">
        <v>95</v>
      </c>
      <c r="I366">
        <v>22399</v>
      </c>
      <c r="J366">
        <v>7</v>
      </c>
      <c r="K366" t="s">
        <v>34</v>
      </c>
      <c r="L366">
        <v>2933.87</v>
      </c>
      <c r="M366" t="str">
        <f t="shared" si="10"/>
        <v>Sep</v>
      </c>
      <c r="N366">
        <f t="shared" si="11"/>
        <v>2025</v>
      </c>
    </row>
    <row r="367" spans="1:14" x14ac:dyDescent="0.3">
      <c r="A367" t="s">
        <v>668</v>
      </c>
      <c r="B367" s="5">
        <v>45910</v>
      </c>
      <c r="C367" t="s">
        <v>91</v>
      </c>
      <c r="D367" t="s">
        <v>23</v>
      </c>
      <c r="E367" t="s">
        <v>82</v>
      </c>
      <c r="F367" t="s">
        <v>46</v>
      </c>
      <c r="G367" t="s">
        <v>87</v>
      </c>
      <c r="H367" t="s">
        <v>88</v>
      </c>
      <c r="I367">
        <v>31557</v>
      </c>
      <c r="J367">
        <v>2</v>
      </c>
      <c r="K367" t="s">
        <v>20</v>
      </c>
      <c r="L367">
        <v>2953.08</v>
      </c>
      <c r="M367" t="str">
        <f t="shared" si="10"/>
        <v>Sep</v>
      </c>
      <c r="N367">
        <f t="shared" si="11"/>
        <v>2025</v>
      </c>
    </row>
    <row r="368" spans="1:14" x14ac:dyDescent="0.3">
      <c r="A368" t="s">
        <v>669</v>
      </c>
      <c r="B368" s="5">
        <v>45890</v>
      </c>
      <c r="C368" t="s">
        <v>31</v>
      </c>
      <c r="D368" t="s">
        <v>15</v>
      </c>
      <c r="E368" t="s">
        <v>154</v>
      </c>
      <c r="F368" t="s">
        <v>46</v>
      </c>
      <c r="G368" t="s">
        <v>94</v>
      </c>
      <c r="H368" t="s">
        <v>95</v>
      </c>
      <c r="I368">
        <v>79788</v>
      </c>
      <c r="J368">
        <v>4</v>
      </c>
      <c r="K368" t="s">
        <v>49</v>
      </c>
      <c r="L368">
        <v>16188.14</v>
      </c>
      <c r="M368" t="str">
        <f t="shared" si="10"/>
        <v>Aug</v>
      </c>
      <c r="N368">
        <f t="shared" si="11"/>
        <v>2025</v>
      </c>
    </row>
    <row r="369" spans="1:14" x14ac:dyDescent="0.3">
      <c r="A369" t="s">
        <v>670</v>
      </c>
      <c r="B369" s="5">
        <v>45973</v>
      </c>
      <c r="C369" t="s">
        <v>14</v>
      </c>
      <c r="D369" t="s">
        <v>23</v>
      </c>
      <c r="E369" t="s">
        <v>129</v>
      </c>
      <c r="F369" t="s">
        <v>25</v>
      </c>
      <c r="G369" t="s">
        <v>40</v>
      </c>
      <c r="H369" t="s">
        <v>41</v>
      </c>
      <c r="I369">
        <v>66637</v>
      </c>
      <c r="J369">
        <v>6</v>
      </c>
      <c r="K369" t="s">
        <v>53</v>
      </c>
      <c r="L369">
        <v>13999.62</v>
      </c>
      <c r="M369" t="str">
        <f t="shared" si="10"/>
        <v>Nov</v>
      </c>
      <c r="N369">
        <f t="shared" si="11"/>
        <v>2025</v>
      </c>
    </row>
    <row r="370" spans="1:14" x14ac:dyDescent="0.3">
      <c r="A370" t="s">
        <v>671</v>
      </c>
      <c r="B370" s="5">
        <v>45828</v>
      </c>
      <c r="C370" t="s">
        <v>121</v>
      </c>
      <c r="D370" t="s">
        <v>15</v>
      </c>
      <c r="E370" t="s">
        <v>73</v>
      </c>
      <c r="F370" t="s">
        <v>17</v>
      </c>
      <c r="G370" t="s">
        <v>104</v>
      </c>
      <c r="H370" t="s">
        <v>105</v>
      </c>
      <c r="I370">
        <v>53171</v>
      </c>
      <c r="J370">
        <v>3</v>
      </c>
      <c r="K370" t="s">
        <v>28</v>
      </c>
      <c r="L370">
        <v>7195.83</v>
      </c>
      <c r="M370" t="str">
        <f t="shared" si="10"/>
        <v>Jun</v>
      </c>
      <c r="N370">
        <f t="shared" si="11"/>
        <v>2025</v>
      </c>
    </row>
    <row r="371" spans="1:14" x14ac:dyDescent="0.3">
      <c r="A371" t="s">
        <v>672</v>
      </c>
      <c r="B371" s="5">
        <v>45660</v>
      </c>
      <c r="C371" t="s">
        <v>37</v>
      </c>
      <c r="D371" t="s">
        <v>23</v>
      </c>
      <c r="E371" t="s">
        <v>82</v>
      </c>
      <c r="F371" t="s">
        <v>17</v>
      </c>
      <c r="G371" t="s">
        <v>104</v>
      </c>
      <c r="H371" t="s">
        <v>105</v>
      </c>
      <c r="I371">
        <v>57393</v>
      </c>
      <c r="J371">
        <v>5</v>
      </c>
      <c r="K371" t="s">
        <v>20</v>
      </c>
      <c r="L371">
        <v>12072.71</v>
      </c>
      <c r="M371" t="str">
        <f t="shared" si="10"/>
        <v>Jan</v>
      </c>
      <c r="N371">
        <f t="shared" si="11"/>
        <v>2025</v>
      </c>
    </row>
    <row r="372" spans="1:14" x14ac:dyDescent="0.3">
      <c r="A372" t="s">
        <v>674</v>
      </c>
      <c r="B372" s="5">
        <v>45875</v>
      </c>
      <c r="C372" t="s">
        <v>121</v>
      </c>
      <c r="D372" t="s">
        <v>32</v>
      </c>
      <c r="E372" t="s">
        <v>45</v>
      </c>
      <c r="F372" t="s">
        <v>17</v>
      </c>
      <c r="G372" t="s">
        <v>104</v>
      </c>
      <c r="H372" t="s">
        <v>105</v>
      </c>
      <c r="I372">
        <v>22204</v>
      </c>
      <c r="J372">
        <v>7</v>
      </c>
      <c r="K372" t="s">
        <v>28</v>
      </c>
      <c r="L372">
        <v>2608.1</v>
      </c>
      <c r="M372" t="str">
        <f t="shared" si="10"/>
        <v>Aug</v>
      </c>
      <c r="N372">
        <f t="shared" si="11"/>
        <v>2025</v>
      </c>
    </row>
    <row r="373" spans="1:14" x14ac:dyDescent="0.3">
      <c r="A373" t="s">
        <v>675</v>
      </c>
      <c r="B373" s="5">
        <v>45785</v>
      </c>
      <c r="C373" t="s">
        <v>63</v>
      </c>
      <c r="D373" t="s">
        <v>23</v>
      </c>
      <c r="E373" t="s">
        <v>129</v>
      </c>
      <c r="F373" t="s">
        <v>46</v>
      </c>
      <c r="G373" t="s">
        <v>47</v>
      </c>
      <c r="H373" t="s">
        <v>48</v>
      </c>
      <c r="I373">
        <v>62026</v>
      </c>
      <c r="J373">
        <v>8</v>
      </c>
      <c r="K373" t="s">
        <v>49</v>
      </c>
      <c r="L373">
        <v>7009.5</v>
      </c>
      <c r="M373" t="str">
        <f t="shared" si="10"/>
        <v>May</v>
      </c>
      <c r="N373">
        <f t="shared" si="11"/>
        <v>2025</v>
      </c>
    </row>
    <row r="374" spans="1:14" x14ac:dyDescent="0.3">
      <c r="A374" t="s">
        <v>676</v>
      </c>
      <c r="B374" s="5">
        <v>45673</v>
      </c>
      <c r="C374" t="s">
        <v>91</v>
      </c>
      <c r="D374" t="s">
        <v>32</v>
      </c>
      <c r="E374" t="s">
        <v>45</v>
      </c>
      <c r="F374" t="s">
        <v>17</v>
      </c>
      <c r="G374" t="s">
        <v>104</v>
      </c>
      <c r="H374" t="s">
        <v>105</v>
      </c>
      <c r="I374">
        <v>45240</v>
      </c>
      <c r="J374">
        <v>5</v>
      </c>
      <c r="K374" t="s">
        <v>34</v>
      </c>
      <c r="L374">
        <v>10432.67</v>
      </c>
      <c r="M374" t="str">
        <f t="shared" si="10"/>
        <v>Jan</v>
      </c>
      <c r="N374">
        <f t="shared" si="11"/>
        <v>2025</v>
      </c>
    </row>
    <row r="375" spans="1:14" x14ac:dyDescent="0.3">
      <c r="A375" t="s">
        <v>678</v>
      </c>
      <c r="B375" s="5">
        <v>45957</v>
      </c>
      <c r="C375" t="s">
        <v>72</v>
      </c>
      <c r="D375" t="s">
        <v>23</v>
      </c>
      <c r="E375" t="s">
        <v>24</v>
      </c>
      <c r="F375" t="s">
        <v>46</v>
      </c>
      <c r="G375" t="s">
        <v>94</v>
      </c>
      <c r="H375" t="s">
        <v>95</v>
      </c>
      <c r="I375">
        <v>37746</v>
      </c>
      <c r="J375">
        <v>6</v>
      </c>
      <c r="K375" t="s">
        <v>34</v>
      </c>
      <c r="L375">
        <v>5625.54</v>
      </c>
      <c r="M375" t="str">
        <f t="shared" si="10"/>
        <v>Oct</v>
      </c>
      <c r="N375">
        <f t="shared" si="11"/>
        <v>2025</v>
      </c>
    </row>
    <row r="376" spans="1:14" x14ac:dyDescent="0.3">
      <c r="A376" t="s">
        <v>679</v>
      </c>
      <c r="B376" s="5">
        <v>45799</v>
      </c>
      <c r="C376" t="s">
        <v>14</v>
      </c>
      <c r="D376" t="s">
        <v>38</v>
      </c>
      <c r="E376" t="s">
        <v>52</v>
      </c>
      <c r="F376" t="s">
        <v>17</v>
      </c>
      <c r="G376" t="s">
        <v>76</v>
      </c>
      <c r="H376" t="s">
        <v>77</v>
      </c>
      <c r="I376">
        <v>28034</v>
      </c>
      <c r="J376">
        <v>6</v>
      </c>
      <c r="K376" t="s">
        <v>34</v>
      </c>
      <c r="L376">
        <v>6024.38</v>
      </c>
      <c r="M376" t="str">
        <f t="shared" si="10"/>
        <v>May</v>
      </c>
      <c r="N376">
        <f t="shared" si="11"/>
        <v>2025</v>
      </c>
    </row>
    <row r="377" spans="1:14" x14ac:dyDescent="0.3">
      <c r="A377" t="s">
        <v>681</v>
      </c>
      <c r="B377" s="5">
        <v>45800</v>
      </c>
      <c r="C377" t="s">
        <v>44</v>
      </c>
      <c r="D377" t="s">
        <v>23</v>
      </c>
      <c r="E377" t="s">
        <v>24</v>
      </c>
      <c r="F377" t="s">
        <v>46</v>
      </c>
      <c r="G377" t="s">
        <v>94</v>
      </c>
      <c r="H377" t="s">
        <v>95</v>
      </c>
      <c r="I377">
        <v>15130</v>
      </c>
      <c r="J377">
        <v>4</v>
      </c>
      <c r="K377" t="s">
        <v>28</v>
      </c>
      <c r="L377">
        <v>1000.5</v>
      </c>
      <c r="M377" t="str">
        <f t="shared" si="10"/>
        <v>May</v>
      </c>
      <c r="N377">
        <f t="shared" si="11"/>
        <v>2025</v>
      </c>
    </row>
    <row r="378" spans="1:14" x14ac:dyDescent="0.3">
      <c r="A378" t="s">
        <v>682</v>
      </c>
      <c r="B378" s="5">
        <v>45977</v>
      </c>
      <c r="C378" t="s">
        <v>63</v>
      </c>
      <c r="D378" t="s">
        <v>15</v>
      </c>
      <c r="E378" t="s">
        <v>154</v>
      </c>
      <c r="F378" t="s">
        <v>17</v>
      </c>
      <c r="G378" t="s">
        <v>76</v>
      </c>
      <c r="H378" t="s">
        <v>77</v>
      </c>
      <c r="I378">
        <v>51543</v>
      </c>
      <c r="J378">
        <v>2</v>
      </c>
      <c r="K378" t="s">
        <v>20</v>
      </c>
      <c r="L378">
        <v>4343.5</v>
      </c>
      <c r="M378" t="str">
        <f t="shared" si="10"/>
        <v>Nov</v>
      </c>
      <c r="N378">
        <f t="shared" si="11"/>
        <v>2025</v>
      </c>
    </row>
    <row r="379" spans="1:14" x14ac:dyDescent="0.3">
      <c r="A379" t="s">
        <v>683</v>
      </c>
      <c r="B379" s="5">
        <v>45798</v>
      </c>
      <c r="C379" t="s">
        <v>121</v>
      </c>
      <c r="D379" t="s">
        <v>23</v>
      </c>
      <c r="E379" t="s">
        <v>129</v>
      </c>
      <c r="F379" t="s">
        <v>46</v>
      </c>
      <c r="G379" t="s">
        <v>47</v>
      </c>
      <c r="H379" t="s">
        <v>48</v>
      </c>
      <c r="I379">
        <v>30558</v>
      </c>
      <c r="J379">
        <v>7</v>
      </c>
      <c r="K379" t="s">
        <v>53</v>
      </c>
      <c r="L379">
        <v>2567.4299999999998</v>
      </c>
      <c r="M379" t="str">
        <f t="shared" si="10"/>
        <v>May</v>
      </c>
      <c r="N379">
        <f t="shared" si="11"/>
        <v>2025</v>
      </c>
    </row>
    <row r="380" spans="1:14" x14ac:dyDescent="0.3">
      <c r="A380" t="s">
        <v>684</v>
      </c>
      <c r="B380" s="5">
        <v>45784</v>
      </c>
      <c r="C380" t="s">
        <v>121</v>
      </c>
      <c r="D380" t="s">
        <v>38</v>
      </c>
      <c r="E380" t="s">
        <v>39</v>
      </c>
      <c r="F380" t="s">
        <v>46</v>
      </c>
      <c r="G380" t="s">
        <v>94</v>
      </c>
      <c r="H380" t="s">
        <v>95</v>
      </c>
      <c r="I380">
        <v>76297</v>
      </c>
      <c r="J380">
        <v>5</v>
      </c>
      <c r="K380" t="s">
        <v>34</v>
      </c>
      <c r="L380">
        <v>19673.2</v>
      </c>
      <c r="M380" t="str">
        <f t="shared" si="10"/>
        <v>May</v>
      </c>
      <c r="N380">
        <f t="shared" si="11"/>
        <v>2025</v>
      </c>
    </row>
    <row r="381" spans="1:14" x14ac:dyDescent="0.3">
      <c r="A381" t="s">
        <v>686</v>
      </c>
      <c r="B381" s="5">
        <v>45826</v>
      </c>
      <c r="C381" t="s">
        <v>91</v>
      </c>
      <c r="D381" t="s">
        <v>23</v>
      </c>
      <c r="E381" t="s">
        <v>24</v>
      </c>
      <c r="F381" t="s">
        <v>17</v>
      </c>
      <c r="G381" t="s">
        <v>18</v>
      </c>
      <c r="H381" t="s">
        <v>19</v>
      </c>
      <c r="I381">
        <v>16291</v>
      </c>
      <c r="J381">
        <v>9</v>
      </c>
      <c r="K381" t="s">
        <v>49</v>
      </c>
      <c r="L381">
        <v>3811.35</v>
      </c>
      <c r="M381" t="str">
        <f t="shared" si="10"/>
        <v>Jun</v>
      </c>
      <c r="N381">
        <f t="shared" si="11"/>
        <v>2025</v>
      </c>
    </row>
    <row r="382" spans="1:14" x14ac:dyDescent="0.3">
      <c r="A382" t="s">
        <v>688</v>
      </c>
      <c r="B382" s="5">
        <v>45737</v>
      </c>
      <c r="C382" t="s">
        <v>66</v>
      </c>
      <c r="D382" t="s">
        <v>38</v>
      </c>
      <c r="E382" t="s">
        <v>52</v>
      </c>
      <c r="F382" t="s">
        <v>17</v>
      </c>
      <c r="G382" t="s">
        <v>104</v>
      </c>
      <c r="H382" t="s">
        <v>105</v>
      </c>
      <c r="I382">
        <v>10603</v>
      </c>
      <c r="J382">
        <v>10</v>
      </c>
      <c r="K382" t="s">
        <v>28</v>
      </c>
      <c r="L382">
        <v>2626.22</v>
      </c>
      <c r="M382" t="str">
        <f t="shared" si="10"/>
        <v>Mar</v>
      </c>
      <c r="N382">
        <f t="shared" si="11"/>
        <v>2025</v>
      </c>
    </row>
    <row r="383" spans="1:14" x14ac:dyDescent="0.3">
      <c r="A383" t="s">
        <v>689</v>
      </c>
      <c r="B383" s="5">
        <v>45899</v>
      </c>
      <c r="C383" t="s">
        <v>37</v>
      </c>
      <c r="D383" t="s">
        <v>32</v>
      </c>
      <c r="E383" t="s">
        <v>33</v>
      </c>
      <c r="F383" t="s">
        <v>46</v>
      </c>
      <c r="G383" t="s">
        <v>47</v>
      </c>
      <c r="H383" t="s">
        <v>48</v>
      </c>
      <c r="I383">
        <v>74583</v>
      </c>
      <c r="J383">
        <v>9</v>
      </c>
      <c r="K383" t="s">
        <v>20</v>
      </c>
      <c r="L383">
        <v>14237.02</v>
      </c>
      <c r="M383" t="str">
        <f t="shared" si="10"/>
        <v>Aug</v>
      </c>
      <c r="N383">
        <f t="shared" si="11"/>
        <v>2025</v>
      </c>
    </row>
    <row r="384" spans="1:14" x14ac:dyDescent="0.3">
      <c r="A384" t="s">
        <v>691</v>
      </c>
      <c r="B384" s="5">
        <v>45670</v>
      </c>
      <c r="C384" t="s">
        <v>72</v>
      </c>
      <c r="D384" t="s">
        <v>32</v>
      </c>
      <c r="E384" t="s">
        <v>116</v>
      </c>
      <c r="F384" t="s">
        <v>46</v>
      </c>
      <c r="G384" t="s">
        <v>87</v>
      </c>
      <c r="H384" t="s">
        <v>88</v>
      </c>
      <c r="I384">
        <v>28236</v>
      </c>
      <c r="J384">
        <v>3</v>
      </c>
      <c r="K384" t="s">
        <v>49</v>
      </c>
      <c r="L384">
        <v>3285.02</v>
      </c>
      <c r="M384" t="str">
        <f t="shared" si="10"/>
        <v>Jan</v>
      </c>
      <c r="N384">
        <f t="shared" si="11"/>
        <v>2025</v>
      </c>
    </row>
    <row r="385" spans="1:14" x14ac:dyDescent="0.3">
      <c r="A385" t="s">
        <v>692</v>
      </c>
      <c r="B385" s="5">
        <v>45701</v>
      </c>
      <c r="C385" t="s">
        <v>44</v>
      </c>
      <c r="D385" t="s">
        <v>32</v>
      </c>
      <c r="E385" t="s">
        <v>116</v>
      </c>
      <c r="F385" t="s">
        <v>46</v>
      </c>
      <c r="G385" t="s">
        <v>87</v>
      </c>
      <c r="H385" t="s">
        <v>88</v>
      </c>
      <c r="I385">
        <v>39824</v>
      </c>
      <c r="J385">
        <v>2</v>
      </c>
      <c r="K385" t="s">
        <v>53</v>
      </c>
      <c r="L385">
        <v>8813.14</v>
      </c>
      <c r="M385" t="str">
        <f t="shared" si="10"/>
        <v>Feb</v>
      </c>
      <c r="N385">
        <f t="shared" si="11"/>
        <v>2025</v>
      </c>
    </row>
    <row r="386" spans="1:14" x14ac:dyDescent="0.3">
      <c r="A386" t="s">
        <v>693</v>
      </c>
      <c r="B386" s="5">
        <v>45692</v>
      </c>
      <c r="C386" t="s">
        <v>66</v>
      </c>
      <c r="D386" t="s">
        <v>15</v>
      </c>
      <c r="E386" t="s">
        <v>16</v>
      </c>
      <c r="F386" t="s">
        <v>46</v>
      </c>
      <c r="G386" t="s">
        <v>47</v>
      </c>
      <c r="H386" t="s">
        <v>48</v>
      </c>
      <c r="I386">
        <v>72197</v>
      </c>
      <c r="J386">
        <v>4</v>
      </c>
      <c r="K386" t="s">
        <v>53</v>
      </c>
      <c r="L386">
        <v>11830.43</v>
      </c>
      <c r="M386" t="str">
        <f t="shared" si="10"/>
        <v>Feb</v>
      </c>
      <c r="N386">
        <f t="shared" si="11"/>
        <v>2025</v>
      </c>
    </row>
    <row r="387" spans="1:14" x14ac:dyDescent="0.3">
      <c r="A387" t="s">
        <v>694</v>
      </c>
      <c r="B387" s="5">
        <v>45824</v>
      </c>
      <c r="C387" t="s">
        <v>31</v>
      </c>
      <c r="D387" t="s">
        <v>23</v>
      </c>
      <c r="E387" t="s">
        <v>24</v>
      </c>
      <c r="F387" t="s">
        <v>25</v>
      </c>
      <c r="G387" t="s">
        <v>57</v>
      </c>
      <c r="H387" t="s">
        <v>58</v>
      </c>
      <c r="I387">
        <v>74371</v>
      </c>
      <c r="J387">
        <v>2</v>
      </c>
      <c r="K387" t="s">
        <v>28</v>
      </c>
      <c r="L387">
        <v>16793.84</v>
      </c>
      <c r="M387" t="str">
        <f t="shared" ref="M387:M450" si="12">TEXT(B387,"mmm")</f>
        <v>Jun</v>
      </c>
      <c r="N387">
        <f t="shared" ref="N387:N450" si="13">YEAR(B387)</f>
        <v>2025</v>
      </c>
    </row>
    <row r="388" spans="1:14" x14ac:dyDescent="0.3">
      <c r="A388" t="s">
        <v>695</v>
      </c>
      <c r="B388" s="5">
        <v>46022</v>
      </c>
      <c r="C388" t="s">
        <v>14</v>
      </c>
      <c r="D388" t="s">
        <v>15</v>
      </c>
      <c r="E388" t="s">
        <v>73</v>
      </c>
      <c r="F388" t="s">
        <v>25</v>
      </c>
      <c r="G388" t="s">
        <v>57</v>
      </c>
      <c r="H388" t="s">
        <v>58</v>
      </c>
      <c r="I388">
        <v>64570</v>
      </c>
      <c r="J388">
        <v>6</v>
      </c>
      <c r="K388" t="s">
        <v>53</v>
      </c>
      <c r="L388">
        <v>14706.27</v>
      </c>
      <c r="M388" t="str">
        <f t="shared" si="12"/>
        <v>Dec</v>
      </c>
      <c r="N388">
        <f t="shared" si="13"/>
        <v>2025</v>
      </c>
    </row>
    <row r="389" spans="1:14" x14ac:dyDescent="0.3">
      <c r="A389" t="s">
        <v>696</v>
      </c>
      <c r="B389" s="5">
        <v>45826</v>
      </c>
      <c r="C389" t="s">
        <v>121</v>
      </c>
      <c r="D389" t="s">
        <v>23</v>
      </c>
      <c r="E389" t="s">
        <v>129</v>
      </c>
      <c r="F389" t="s">
        <v>17</v>
      </c>
      <c r="G389" t="s">
        <v>104</v>
      </c>
      <c r="H389" t="s">
        <v>105</v>
      </c>
      <c r="I389">
        <v>34656</v>
      </c>
      <c r="J389">
        <v>6</v>
      </c>
      <c r="K389" t="s">
        <v>20</v>
      </c>
      <c r="L389">
        <v>5129.6899999999996</v>
      </c>
      <c r="M389" t="str">
        <f t="shared" si="12"/>
        <v>Jun</v>
      </c>
      <c r="N389">
        <f t="shared" si="13"/>
        <v>2025</v>
      </c>
    </row>
    <row r="390" spans="1:14" x14ac:dyDescent="0.3">
      <c r="A390" t="s">
        <v>697</v>
      </c>
      <c r="B390" s="5">
        <v>45842</v>
      </c>
      <c r="C390" t="s">
        <v>14</v>
      </c>
      <c r="D390" t="s">
        <v>32</v>
      </c>
      <c r="E390" t="s">
        <v>116</v>
      </c>
      <c r="F390" t="s">
        <v>46</v>
      </c>
      <c r="G390" t="s">
        <v>87</v>
      </c>
      <c r="H390" t="s">
        <v>88</v>
      </c>
      <c r="I390">
        <v>9264</v>
      </c>
      <c r="J390">
        <v>8</v>
      </c>
      <c r="K390" t="s">
        <v>34</v>
      </c>
      <c r="L390">
        <v>1391.63</v>
      </c>
      <c r="M390" t="str">
        <f t="shared" si="12"/>
        <v>Jul</v>
      </c>
      <c r="N390">
        <f t="shared" si="13"/>
        <v>2025</v>
      </c>
    </row>
    <row r="391" spans="1:14" x14ac:dyDescent="0.3">
      <c r="A391" t="s">
        <v>699</v>
      </c>
      <c r="B391" s="5">
        <v>45871</v>
      </c>
      <c r="C391" t="s">
        <v>121</v>
      </c>
      <c r="D391" t="s">
        <v>32</v>
      </c>
      <c r="E391" t="s">
        <v>33</v>
      </c>
      <c r="F391" t="s">
        <v>17</v>
      </c>
      <c r="G391" t="s">
        <v>18</v>
      </c>
      <c r="H391" t="s">
        <v>19</v>
      </c>
      <c r="I391">
        <v>28327</v>
      </c>
      <c r="J391">
        <v>10</v>
      </c>
      <c r="K391" t="s">
        <v>34</v>
      </c>
      <c r="L391">
        <v>3218.82</v>
      </c>
      <c r="M391" t="str">
        <f t="shared" si="12"/>
        <v>Aug</v>
      </c>
      <c r="N391">
        <f t="shared" si="13"/>
        <v>2025</v>
      </c>
    </row>
    <row r="392" spans="1:14" x14ac:dyDescent="0.3">
      <c r="A392" t="s">
        <v>700</v>
      </c>
      <c r="B392" s="5">
        <v>45788</v>
      </c>
      <c r="C392" t="s">
        <v>56</v>
      </c>
      <c r="D392" t="s">
        <v>38</v>
      </c>
      <c r="E392" t="s">
        <v>39</v>
      </c>
      <c r="F392" t="s">
        <v>25</v>
      </c>
      <c r="G392" t="s">
        <v>57</v>
      </c>
      <c r="H392" t="s">
        <v>58</v>
      </c>
      <c r="I392">
        <v>38814</v>
      </c>
      <c r="J392">
        <v>5</v>
      </c>
      <c r="K392" t="s">
        <v>34</v>
      </c>
      <c r="L392">
        <v>4669.1899999999996</v>
      </c>
      <c r="M392" t="str">
        <f t="shared" si="12"/>
        <v>May</v>
      </c>
      <c r="N392">
        <f t="shared" si="13"/>
        <v>2025</v>
      </c>
    </row>
    <row r="393" spans="1:14" x14ac:dyDescent="0.3">
      <c r="A393" t="s">
        <v>701</v>
      </c>
      <c r="B393" s="5">
        <v>45666</v>
      </c>
      <c r="C393" t="s">
        <v>121</v>
      </c>
      <c r="D393" t="s">
        <v>38</v>
      </c>
      <c r="E393" t="s">
        <v>39</v>
      </c>
      <c r="F393" t="s">
        <v>46</v>
      </c>
      <c r="G393" t="s">
        <v>94</v>
      </c>
      <c r="H393" t="s">
        <v>95</v>
      </c>
      <c r="I393">
        <v>19351</v>
      </c>
      <c r="J393">
        <v>3</v>
      </c>
      <c r="K393" t="s">
        <v>49</v>
      </c>
      <c r="L393">
        <v>3357.56</v>
      </c>
      <c r="M393" t="str">
        <f t="shared" si="12"/>
        <v>Jan</v>
      </c>
      <c r="N393">
        <f t="shared" si="13"/>
        <v>2025</v>
      </c>
    </row>
    <row r="394" spans="1:14" x14ac:dyDescent="0.3">
      <c r="A394" t="s">
        <v>703</v>
      </c>
      <c r="B394" s="5">
        <v>45842</v>
      </c>
      <c r="C394" t="s">
        <v>121</v>
      </c>
      <c r="D394" t="s">
        <v>15</v>
      </c>
      <c r="E394" t="s">
        <v>73</v>
      </c>
      <c r="F394" t="s">
        <v>46</v>
      </c>
      <c r="G394" t="s">
        <v>94</v>
      </c>
      <c r="H394" t="s">
        <v>95</v>
      </c>
      <c r="I394">
        <v>41814</v>
      </c>
      <c r="J394">
        <v>1</v>
      </c>
      <c r="K394" t="s">
        <v>28</v>
      </c>
      <c r="L394">
        <v>5508.81</v>
      </c>
      <c r="M394" t="str">
        <f t="shared" si="12"/>
        <v>Jul</v>
      </c>
      <c r="N394">
        <f t="shared" si="13"/>
        <v>2025</v>
      </c>
    </row>
    <row r="395" spans="1:14" x14ac:dyDescent="0.3">
      <c r="A395" t="s">
        <v>704</v>
      </c>
      <c r="B395" s="5">
        <v>45728</v>
      </c>
      <c r="C395" t="s">
        <v>66</v>
      </c>
      <c r="D395" t="s">
        <v>38</v>
      </c>
      <c r="E395" t="s">
        <v>52</v>
      </c>
      <c r="F395" t="s">
        <v>17</v>
      </c>
      <c r="G395" t="s">
        <v>104</v>
      </c>
      <c r="H395" t="s">
        <v>105</v>
      </c>
      <c r="I395">
        <v>59975</v>
      </c>
      <c r="J395">
        <v>9</v>
      </c>
      <c r="K395" t="s">
        <v>34</v>
      </c>
      <c r="L395">
        <v>8841.56</v>
      </c>
      <c r="M395" t="str">
        <f t="shared" si="12"/>
        <v>Mar</v>
      </c>
      <c r="N395">
        <f t="shared" si="13"/>
        <v>2025</v>
      </c>
    </row>
    <row r="396" spans="1:14" x14ac:dyDescent="0.3">
      <c r="A396" t="s">
        <v>706</v>
      </c>
      <c r="B396" s="5">
        <v>45716</v>
      </c>
      <c r="C396" t="s">
        <v>91</v>
      </c>
      <c r="D396" t="s">
        <v>38</v>
      </c>
      <c r="E396" t="s">
        <v>52</v>
      </c>
      <c r="F396" t="s">
        <v>25</v>
      </c>
      <c r="G396" t="s">
        <v>26</v>
      </c>
      <c r="H396" t="s">
        <v>27</v>
      </c>
      <c r="I396">
        <v>49220</v>
      </c>
      <c r="J396">
        <v>2</v>
      </c>
      <c r="K396" t="s">
        <v>34</v>
      </c>
      <c r="L396">
        <v>3206.05</v>
      </c>
      <c r="M396" t="str">
        <f t="shared" si="12"/>
        <v>Feb</v>
      </c>
      <c r="N396">
        <f t="shared" si="13"/>
        <v>2025</v>
      </c>
    </row>
    <row r="397" spans="1:14" x14ac:dyDescent="0.3">
      <c r="A397" t="s">
        <v>708</v>
      </c>
      <c r="B397" s="5">
        <v>45677</v>
      </c>
      <c r="C397" t="s">
        <v>56</v>
      </c>
      <c r="D397" t="s">
        <v>15</v>
      </c>
      <c r="E397" t="s">
        <v>16</v>
      </c>
      <c r="F397" t="s">
        <v>46</v>
      </c>
      <c r="G397" t="s">
        <v>94</v>
      </c>
      <c r="H397" t="s">
        <v>95</v>
      </c>
      <c r="I397">
        <v>18745</v>
      </c>
      <c r="J397">
        <v>8</v>
      </c>
      <c r="K397" t="s">
        <v>53</v>
      </c>
      <c r="L397">
        <v>1527.17</v>
      </c>
      <c r="M397" t="str">
        <f t="shared" si="12"/>
        <v>Jan</v>
      </c>
      <c r="N397">
        <f t="shared" si="13"/>
        <v>2025</v>
      </c>
    </row>
    <row r="398" spans="1:14" x14ac:dyDescent="0.3">
      <c r="A398" t="s">
        <v>709</v>
      </c>
      <c r="B398" s="5">
        <v>45804</v>
      </c>
      <c r="C398" t="s">
        <v>44</v>
      </c>
      <c r="D398" t="s">
        <v>38</v>
      </c>
      <c r="E398" t="s">
        <v>52</v>
      </c>
      <c r="F398" t="s">
        <v>25</v>
      </c>
      <c r="G398" t="s">
        <v>57</v>
      </c>
      <c r="H398" t="s">
        <v>58</v>
      </c>
      <c r="I398">
        <v>65434</v>
      </c>
      <c r="J398">
        <v>2</v>
      </c>
      <c r="K398" t="s">
        <v>49</v>
      </c>
      <c r="L398">
        <v>7515.27</v>
      </c>
      <c r="M398" t="str">
        <f t="shared" si="12"/>
        <v>May</v>
      </c>
      <c r="N398">
        <f t="shared" si="13"/>
        <v>2025</v>
      </c>
    </row>
    <row r="399" spans="1:14" x14ac:dyDescent="0.3">
      <c r="A399" t="s">
        <v>710</v>
      </c>
      <c r="B399" s="5">
        <v>45837</v>
      </c>
      <c r="C399" t="s">
        <v>66</v>
      </c>
      <c r="D399" t="s">
        <v>38</v>
      </c>
      <c r="E399" t="s">
        <v>39</v>
      </c>
      <c r="F399" t="s">
        <v>25</v>
      </c>
      <c r="G399" t="s">
        <v>57</v>
      </c>
      <c r="H399" t="s">
        <v>58</v>
      </c>
      <c r="I399">
        <v>13344</v>
      </c>
      <c r="J399">
        <v>2</v>
      </c>
      <c r="K399" t="s">
        <v>49</v>
      </c>
      <c r="L399">
        <v>2367.91</v>
      </c>
      <c r="M399" t="str">
        <f t="shared" si="12"/>
        <v>Jun</v>
      </c>
      <c r="N399">
        <f t="shared" si="13"/>
        <v>2025</v>
      </c>
    </row>
    <row r="400" spans="1:14" x14ac:dyDescent="0.3">
      <c r="A400" t="s">
        <v>711</v>
      </c>
      <c r="B400" s="5">
        <v>45661</v>
      </c>
      <c r="C400" t="s">
        <v>31</v>
      </c>
      <c r="D400" t="s">
        <v>15</v>
      </c>
      <c r="E400" t="s">
        <v>73</v>
      </c>
      <c r="F400" t="s">
        <v>25</v>
      </c>
      <c r="G400" t="s">
        <v>26</v>
      </c>
      <c r="H400" t="s">
        <v>27</v>
      </c>
      <c r="I400">
        <v>69351</v>
      </c>
      <c r="J400">
        <v>8</v>
      </c>
      <c r="K400" t="s">
        <v>20</v>
      </c>
      <c r="L400">
        <v>13525.58</v>
      </c>
      <c r="M400" t="str">
        <f t="shared" si="12"/>
        <v>Jan</v>
      </c>
      <c r="N400">
        <f t="shared" si="13"/>
        <v>2025</v>
      </c>
    </row>
    <row r="401" spans="1:14" x14ac:dyDescent="0.3">
      <c r="A401" t="s">
        <v>713</v>
      </c>
      <c r="B401" s="5">
        <v>45984</v>
      </c>
      <c r="C401" t="s">
        <v>44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11521</v>
      </c>
      <c r="J401">
        <v>8</v>
      </c>
      <c r="K401" t="s">
        <v>49</v>
      </c>
      <c r="L401">
        <v>2389.7199999999998</v>
      </c>
      <c r="M401" t="str">
        <f t="shared" si="12"/>
        <v>Nov</v>
      </c>
      <c r="N401">
        <f t="shared" si="13"/>
        <v>2025</v>
      </c>
    </row>
    <row r="402" spans="1:14" x14ac:dyDescent="0.3">
      <c r="A402" t="s">
        <v>714</v>
      </c>
      <c r="B402" s="5">
        <v>45691</v>
      </c>
      <c r="C402" t="s">
        <v>63</v>
      </c>
      <c r="D402" t="s">
        <v>23</v>
      </c>
      <c r="E402" t="s">
        <v>82</v>
      </c>
      <c r="F402" t="s">
        <v>17</v>
      </c>
      <c r="G402" t="s">
        <v>18</v>
      </c>
      <c r="H402" t="s">
        <v>19</v>
      </c>
      <c r="I402">
        <v>40002</v>
      </c>
      <c r="J402">
        <v>8</v>
      </c>
      <c r="K402" t="s">
        <v>49</v>
      </c>
      <c r="L402">
        <v>6832.02</v>
      </c>
      <c r="M402" t="str">
        <f t="shared" si="12"/>
        <v>Feb</v>
      </c>
      <c r="N402">
        <f t="shared" si="13"/>
        <v>2025</v>
      </c>
    </row>
    <row r="403" spans="1:14" x14ac:dyDescent="0.3">
      <c r="A403" t="s">
        <v>716</v>
      </c>
      <c r="B403" s="5">
        <v>45806</v>
      </c>
      <c r="C403" t="s">
        <v>37</v>
      </c>
      <c r="D403" t="s">
        <v>32</v>
      </c>
      <c r="E403" t="s">
        <v>45</v>
      </c>
      <c r="F403" t="s">
        <v>25</v>
      </c>
      <c r="G403" t="s">
        <v>57</v>
      </c>
      <c r="H403" t="s">
        <v>58</v>
      </c>
      <c r="I403">
        <v>59462</v>
      </c>
      <c r="J403">
        <v>10</v>
      </c>
      <c r="K403" t="s">
        <v>53</v>
      </c>
      <c r="L403">
        <v>12014.26</v>
      </c>
      <c r="M403" t="str">
        <f t="shared" si="12"/>
        <v>May</v>
      </c>
      <c r="N403">
        <f t="shared" si="13"/>
        <v>2025</v>
      </c>
    </row>
    <row r="404" spans="1:14" x14ac:dyDescent="0.3">
      <c r="A404" t="s">
        <v>717</v>
      </c>
      <c r="B404" s="5">
        <v>45781</v>
      </c>
      <c r="C404" t="s">
        <v>31</v>
      </c>
      <c r="D404" t="s">
        <v>38</v>
      </c>
      <c r="E404" t="s">
        <v>67</v>
      </c>
      <c r="F404" t="s">
        <v>17</v>
      </c>
      <c r="G404" t="s">
        <v>104</v>
      </c>
      <c r="H404" t="s">
        <v>105</v>
      </c>
      <c r="I404">
        <v>42773</v>
      </c>
      <c r="J404">
        <v>8</v>
      </c>
      <c r="K404" t="s">
        <v>49</v>
      </c>
      <c r="L404">
        <v>5016.18</v>
      </c>
      <c r="M404" t="str">
        <f t="shared" si="12"/>
        <v>May</v>
      </c>
      <c r="N404">
        <f t="shared" si="13"/>
        <v>2025</v>
      </c>
    </row>
    <row r="405" spans="1:14" x14ac:dyDescent="0.3">
      <c r="A405" t="s">
        <v>718</v>
      </c>
      <c r="B405" s="5">
        <v>45791</v>
      </c>
      <c r="C405" t="s">
        <v>14</v>
      </c>
      <c r="D405" t="s">
        <v>32</v>
      </c>
      <c r="E405" t="s">
        <v>45</v>
      </c>
      <c r="F405" t="s">
        <v>17</v>
      </c>
      <c r="G405" t="s">
        <v>104</v>
      </c>
      <c r="H405" t="s">
        <v>105</v>
      </c>
      <c r="I405">
        <v>48775</v>
      </c>
      <c r="J405">
        <v>7</v>
      </c>
      <c r="K405" t="s">
        <v>20</v>
      </c>
      <c r="L405">
        <v>4514.28</v>
      </c>
      <c r="M405" t="str">
        <f t="shared" si="12"/>
        <v>May</v>
      </c>
      <c r="N405">
        <f t="shared" si="13"/>
        <v>2025</v>
      </c>
    </row>
    <row r="406" spans="1:14" x14ac:dyDescent="0.3">
      <c r="A406" t="s">
        <v>720</v>
      </c>
      <c r="B406" s="5">
        <v>45825</v>
      </c>
      <c r="C406" t="s">
        <v>56</v>
      </c>
      <c r="D406" t="s">
        <v>32</v>
      </c>
      <c r="E406" t="s">
        <v>45</v>
      </c>
      <c r="F406" t="s">
        <v>17</v>
      </c>
      <c r="G406" t="s">
        <v>18</v>
      </c>
      <c r="H406" t="s">
        <v>19</v>
      </c>
      <c r="I406">
        <v>892</v>
      </c>
      <c r="J406">
        <v>9</v>
      </c>
      <c r="K406" t="s">
        <v>53</v>
      </c>
      <c r="L406">
        <v>234.48</v>
      </c>
      <c r="M406" t="str">
        <f t="shared" si="12"/>
        <v>Jun</v>
      </c>
      <c r="N406">
        <f t="shared" si="13"/>
        <v>2025</v>
      </c>
    </row>
    <row r="407" spans="1:14" x14ac:dyDescent="0.3">
      <c r="A407" t="s">
        <v>722</v>
      </c>
      <c r="B407" s="5">
        <v>45839</v>
      </c>
      <c r="C407" t="s">
        <v>37</v>
      </c>
      <c r="D407" t="s">
        <v>15</v>
      </c>
      <c r="E407" t="s">
        <v>154</v>
      </c>
      <c r="F407" t="s">
        <v>17</v>
      </c>
      <c r="G407" t="s">
        <v>76</v>
      </c>
      <c r="H407" t="s">
        <v>77</v>
      </c>
      <c r="I407">
        <v>76060</v>
      </c>
      <c r="J407">
        <v>8</v>
      </c>
      <c r="K407" t="s">
        <v>34</v>
      </c>
      <c r="L407">
        <v>10760.94</v>
      </c>
      <c r="M407" t="str">
        <f t="shared" si="12"/>
        <v>Jul</v>
      </c>
      <c r="N407">
        <f t="shared" si="13"/>
        <v>2025</v>
      </c>
    </row>
    <row r="408" spans="1:14" x14ac:dyDescent="0.3">
      <c r="A408" t="s">
        <v>723</v>
      </c>
      <c r="B408" s="5">
        <v>45682</v>
      </c>
      <c r="C408" t="s">
        <v>56</v>
      </c>
      <c r="D408" t="s">
        <v>15</v>
      </c>
      <c r="E408" t="s">
        <v>154</v>
      </c>
      <c r="F408" t="s">
        <v>25</v>
      </c>
      <c r="G408" t="s">
        <v>57</v>
      </c>
      <c r="H408" t="s">
        <v>58</v>
      </c>
      <c r="I408">
        <v>44375</v>
      </c>
      <c r="J408">
        <v>9</v>
      </c>
      <c r="K408" t="s">
        <v>49</v>
      </c>
      <c r="L408">
        <v>5683.2</v>
      </c>
      <c r="M408" t="str">
        <f t="shared" si="12"/>
        <v>Jan</v>
      </c>
      <c r="N408">
        <f t="shared" si="13"/>
        <v>2025</v>
      </c>
    </row>
    <row r="409" spans="1:14" x14ac:dyDescent="0.3">
      <c r="A409" t="s">
        <v>724</v>
      </c>
      <c r="B409" s="5">
        <v>45706</v>
      </c>
      <c r="C409" t="s">
        <v>44</v>
      </c>
      <c r="D409" t="s">
        <v>38</v>
      </c>
      <c r="E409" t="s">
        <v>39</v>
      </c>
      <c r="F409" t="s">
        <v>25</v>
      </c>
      <c r="G409" t="s">
        <v>26</v>
      </c>
      <c r="H409" t="s">
        <v>27</v>
      </c>
      <c r="I409">
        <v>50835</v>
      </c>
      <c r="J409">
        <v>2</v>
      </c>
      <c r="K409" t="s">
        <v>28</v>
      </c>
      <c r="L409">
        <v>11791.21</v>
      </c>
      <c r="M409" t="str">
        <f t="shared" si="12"/>
        <v>Feb</v>
      </c>
      <c r="N409">
        <f t="shared" si="13"/>
        <v>2025</v>
      </c>
    </row>
    <row r="410" spans="1:14" x14ac:dyDescent="0.3">
      <c r="A410" t="s">
        <v>726</v>
      </c>
      <c r="B410" s="5">
        <v>45898</v>
      </c>
      <c r="C410" t="s">
        <v>121</v>
      </c>
      <c r="D410" t="s">
        <v>38</v>
      </c>
      <c r="E410" t="s">
        <v>52</v>
      </c>
      <c r="F410" t="s">
        <v>17</v>
      </c>
      <c r="G410" t="s">
        <v>18</v>
      </c>
      <c r="H410" t="s">
        <v>19</v>
      </c>
      <c r="I410">
        <v>78622</v>
      </c>
      <c r="J410">
        <v>5</v>
      </c>
      <c r="K410" t="s">
        <v>28</v>
      </c>
      <c r="L410">
        <v>7478.23</v>
      </c>
      <c r="M410" t="str">
        <f t="shared" si="12"/>
        <v>Aug</v>
      </c>
      <c r="N410">
        <f t="shared" si="13"/>
        <v>2025</v>
      </c>
    </row>
    <row r="411" spans="1:14" x14ac:dyDescent="0.3">
      <c r="A411" t="s">
        <v>727</v>
      </c>
      <c r="B411" s="5">
        <v>46022</v>
      </c>
      <c r="C411" t="s">
        <v>37</v>
      </c>
      <c r="D411" t="s">
        <v>15</v>
      </c>
      <c r="E411" t="s">
        <v>73</v>
      </c>
      <c r="F411" t="s">
        <v>25</v>
      </c>
      <c r="G411" t="s">
        <v>57</v>
      </c>
      <c r="H411" t="s">
        <v>58</v>
      </c>
      <c r="I411">
        <v>73736</v>
      </c>
      <c r="J411">
        <v>2</v>
      </c>
      <c r="K411" t="s">
        <v>49</v>
      </c>
      <c r="L411">
        <v>13536.58</v>
      </c>
      <c r="M411" t="str">
        <f t="shared" si="12"/>
        <v>Dec</v>
      </c>
      <c r="N411">
        <f t="shared" si="13"/>
        <v>2025</v>
      </c>
    </row>
    <row r="412" spans="1:14" x14ac:dyDescent="0.3">
      <c r="A412" t="s">
        <v>728</v>
      </c>
      <c r="B412" s="5">
        <v>46006</v>
      </c>
      <c r="C412" t="s">
        <v>121</v>
      </c>
      <c r="D412" t="s">
        <v>23</v>
      </c>
      <c r="E412" t="s">
        <v>129</v>
      </c>
      <c r="F412" t="s">
        <v>46</v>
      </c>
      <c r="G412" t="s">
        <v>87</v>
      </c>
      <c r="H412" t="s">
        <v>88</v>
      </c>
      <c r="I412">
        <v>16800</v>
      </c>
      <c r="J412">
        <v>6</v>
      </c>
      <c r="K412" t="s">
        <v>49</v>
      </c>
      <c r="L412">
        <v>4564.6099999999997</v>
      </c>
      <c r="M412" t="str">
        <f t="shared" si="12"/>
        <v>Dec</v>
      </c>
      <c r="N412">
        <f t="shared" si="13"/>
        <v>2025</v>
      </c>
    </row>
    <row r="413" spans="1:14" x14ac:dyDescent="0.3">
      <c r="A413" t="s">
        <v>729</v>
      </c>
      <c r="B413" s="5">
        <v>45877</v>
      </c>
      <c r="C413" t="s">
        <v>37</v>
      </c>
      <c r="D413" t="s">
        <v>15</v>
      </c>
      <c r="E413" t="s">
        <v>154</v>
      </c>
      <c r="F413" t="s">
        <v>17</v>
      </c>
      <c r="G413" t="s">
        <v>104</v>
      </c>
      <c r="H413" t="s">
        <v>105</v>
      </c>
      <c r="I413">
        <v>32644</v>
      </c>
      <c r="J413">
        <v>1</v>
      </c>
      <c r="K413" t="s">
        <v>49</v>
      </c>
      <c r="L413">
        <v>3823.58</v>
      </c>
      <c r="M413" t="str">
        <f t="shared" si="12"/>
        <v>Aug</v>
      </c>
      <c r="N413">
        <f t="shared" si="13"/>
        <v>2025</v>
      </c>
    </row>
    <row r="414" spans="1:14" x14ac:dyDescent="0.3">
      <c r="A414" t="s">
        <v>730</v>
      </c>
      <c r="B414" s="5">
        <v>45749</v>
      </c>
      <c r="C414" t="s">
        <v>63</v>
      </c>
      <c r="D414" t="s">
        <v>15</v>
      </c>
      <c r="E414" t="s">
        <v>73</v>
      </c>
      <c r="F414" t="s">
        <v>17</v>
      </c>
      <c r="G414" t="s">
        <v>76</v>
      </c>
      <c r="H414" t="s">
        <v>77</v>
      </c>
      <c r="I414">
        <v>36829</v>
      </c>
      <c r="J414">
        <v>1</v>
      </c>
      <c r="K414" t="s">
        <v>28</v>
      </c>
      <c r="L414">
        <v>2760.13</v>
      </c>
      <c r="M414" t="str">
        <f t="shared" si="12"/>
        <v>Apr</v>
      </c>
      <c r="N414">
        <f t="shared" si="13"/>
        <v>2025</v>
      </c>
    </row>
    <row r="415" spans="1:14" x14ac:dyDescent="0.3">
      <c r="A415" t="s">
        <v>731</v>
      </c>
      <c r="B415" s="5">
        <v>45725</v>
      </c>
      <c r="C415" t="s">
        <v>91</v>
      </c>
      <c r="D415" t="s">
        <v>23</v>
      </c>
      <c r="E415" t="s">
        <v>82</v>
      </c>
      <c r="F415" t="s">
        <v>46</v>
      </c>
      <c r="G415" t="s">
        <v>47</v>
      </c>
      <c r="H415" t="s">
        <v>48</v>
      </c>
      <c r="I415">
        <v>46248</v>
      </c>
      <c r="J415">
        <v>9</v>
      </c>
      <c r="K415" t="s">
        <v>53</v>
      </c>
      <c r="L415">
        <v>4128.1000000000004</v>
      </c>
      <c r="M415" t="str">
        <f t="shared" si="12"/>
        <v>Mar</v>
      </c>
      <c r="N415">
        <f t="shared" si="13"/>
        <v>2025</v>
      </c>
    </row>
    <row r="416" spans="1:14" x14ac:dyDescent="0.3">
      <c r="A416" t="s">
        <v>733</v>
      </c>
      <c r="B416" s="5">
        <v>45846</v>
      </c>
      <c r="C416" t="s">
        <v>31</v>
      </c>
      <c r="D416" t="s">
        <v>32</v>
      </c>
      <c r="E416" t="s">
        <v>33</v>
      </c>
      <c r="F416" t="s">
        <v>46</v>
      </c>
      <c r="G416" t="s">
        <v>94</v>
      </c>
      <c r="H416" t="s">
        <v>95</v>
      </c>
      <c r="I416">
        <v>40942</v>
      </c>
      <c r="J416">
        <v>9</v>
      </c>
      <c r="K416" t="s">
        <v>20</v>
      </c>
      <c r="L416">
        <v>10382.57</v>
      </c>
      <c r="M416" t="str">
        <f t="shared" si="12"/>
        <v>Jul</v>
      </c>
      <c r="N416">
        <f t="shared" si="13"/>
        <v>2025</v>
      </c>
    </row>
    <row r="417" spans="1:14" x14ac:dyDescent="0.3">
      <c r="A417" t="s">
        <v>734</v>
      </c>
      <c r="B417" s="5">
        <v>45793</v>
      </c>
      <c r="C417" t="s">
        <v>72</v>
      </c>
      <c r="D417" t="s">
        <v>15</v>
      </c>
      <c r="E417" t="s">
        <v>16</v>
      </c>
      <c r="F417" t="s">
        <v>25</v>
      </c>
      <c r="G417" t="s">
        <v>26</v>
      </c>
      <c r="H417" t="s">
        <v>27</v>
      </c>
      <c r="I417">
        <v>46088</v>
      </c>
      <c r="J417">
        <v>6</v>
      </c>
      <c r="K417" t="s">
        <v>49</v>
      </c>
      <c r="L417">
        <v>11570.7</v>
      </c>
      <c r="M417" t="str">
        <f t="shared" si="12"/>
        <v>May</v>
      </c>
      <c r="N417">
        <f t="shared" si="13"/>
        <v>2025</v>
      </c>
    </row>
    <row r="418" spans="1:14" x14ac:dyDescent="0.3">
      <c r="A418" t="s">
        <v>735</v>
      </c>
      <c r="B418" s="5">
        <v>45956</v>
      </c>
      <c r="C418" t="s">
        <v>63</v>
      </c>
      <c r="D418" t="s">
        <v>38</v>
      </c>
      <c r="E418" t="s">
        <v>52</v>
      </c>
      <c r="F418" t="s">
        <v>46</v>
      </c>
      <c r="G418" t="s">
        <v>47</v>
      </c>
      <c r="H418" t="s">
        <v>48</v>
      </c>
      <c r="I418">
        <v>68759</v>
      </c>
      <c r="J418">
        <v>3</v>
      </c>
      <c r="K418" t="s">
        <v>34</v>
      </c>
      <c r="L418">
        <v>6667.65</v>
      </c>
      <c r="M418" t="str">
        <f t="shared" si="12"/>
        <v>Oct</v>
      </c>
      <c r="N418">
        <f t="shared" si="13"/>
        <v>2025</v>
      </c>
    </row>
    <row r="419" spans="1:14" x14ac:dyDescent="0.3">
      <c r="A419" t="s">
        <v>736</v>
      </c>
      <c r="B419" s="5">
        <v>45927</v>
      </c>
      <c r="C419" t="s">
        <v>66</v>
      </c>
      <c r="D419" t="s">
        <v>23</v>
      </c>
      <c r="E419" t="s">
        <v>82</v>
      </c>
      <c r="F419" t="s">
        <v>17</v>
      </c>
      <c r="G419" t="s">
        <v>76</v>
      </c>
      <c r="H419" t="s">
        <v>77</v>
      </c>
      <c r="I419">
        <v>30527</v>
      </c>
      <c r="J419">
        <v>4</v>
      </c>
      <c r="K419" t="s">
        <v>34</v>
      </c>
      <c r="L419">
        <v>3744.22</v>
      </c>
      <c r="M419" t="str">
        <f t="shared" si="12"/>
        <v>Sep</v>
      </c>
      <c r="N419">
        <f t="shared" si="13"/>
        <v>2025</v>
      </c>
    </row>
    <row r="420" spans="1:14" x14ac:dyDescent="0.3">
      <c r="A420" t="s">
        <v>738</v>
      </c>
      <c r="B420" s="5">
        <v>45961</v>
      </c>
      <c r="C420" t="s">
        <v>44</v>
      </c>
      <c r="D420" t="s">
        <v>32</v>
      </c>
      <c r="E420" t="s">
        <v>33</v>
      </c>
      <c r="F420" t="s">
        <v>25</v>
      </c>
      <c r="G420" t="s">
        <v>40</v>
      </c>
      <c r="H420" t="s">
        <v>41</v>
      </c>
      <c r="I420">
        <v>47576</v>
      </c>
      <c r="J420">
        <v>8</v>
      </c>
      <c r="K420" t="s">
        <v>20</v>
      </c>
      <c r="L420">
        <v>5323.47</v>
      </c>
      <c r="M420" t="str">
        <f t="shared" si="12"/>
        <v>Oct</v>
      </c>
      <c r="N420">
        <f t="shared" si="13"/>
        <v>2025</v>
      </c>
    </row>
    <row r="421" spans="1:14" x14ac:dyDescent="0.3">
      <c r="A421" t="s">
        <v>739</v>
      </c>
      <c r="B421" s="5">
        <v>45979</v>
      </c>
      <c r="C421" t="s">
        <v>14</v>
      </c>
      <c r="D421" t="s">
        <v>15</v>
      </c>
      <c r="E421" t="s">
        <v>73</v>
      </c>
      <c r="F421" t="s">
        <v>17</v>
      </c>
      <c r="G421" t="s">
        <v>104</v>
      </c>
      <c r="H421" t="s">
        <v>105</v>
      </c>
      <c r="I421">
        <v>42512</v>
      </c>
      <c r="J421">
        <v>4</v>
      </c>
      <c r="K421" t="s">
        <v>53</v>
      </c>
      <c r="L421">
        <v>11273.16</v>
      </c>
      <c r="M421" t="str">
        <f t="shared" si="12"/>
        <v>Nov</v>
      </c>
      <c r="N421">
        <f t="shared" si="13"/>
        <v>2025</v>
      </c>
    </row>
    <row r="422" spans="1:14" x14ac:dyDescent="0.3">
      <c r="A422" t="s">
        <v>741</v>
      </c>
      <c r="B422" s="5">
        <v>45981</v>
      </c>
      <c r="C422" t="s">
        <v>37</v>
      </c>
      <c r="D422" t="s">
        <v>38</v>
      </c>
      <c r="E422" t="s">
        <v>39</v>
      </c>
      <c r="F422" t="s">
        <v>17</v>
      </c>
      <c r="G422" t="s">
        <v>18</v>
      </c>
      <c r="H422" t="s">
        <v>19</v>
      </c>
      <c r="I422">
        <v>41535</v>
      </c>
      <c r="J422">
        <v>1</v>
      </c>
      <c r="K422" t="s">
        <v>53</v>
      </c>
      <c r="L422">
        <v>8774.33</v>
      </c>
      <c r="M422" t="str">
        <f t="shared" si="12"/>
        <v>Nov</v>
      </c>
      <c r="N422">
        <f t="shared" si="13"/>
        <v>2025</v>
      </c>
    </row>
    <row r="423" spans="1:14" x14ac:dyDescent="0.3">
      <c r="A423" t="s">
        <v>742</v>
      </c>
      <c r="B423" s="5">
        <v>45888</v>
      </c>
      <c r="C423" t="s">
        <v>63</v>
      </c>
      <c r="D423" t="s">
        <v>15</v>
      </c>
      <c r="E423" t="s">
        <v>154</v>
      </c>
      <c r="F423" t="s">
        <v>25</v>
      </c>
      <c r="G423" t="s">
        <v>40</v>
      </c>
      <c r="H423" t="s">
        <v>41</v>
      </c>
      <c r="I423">
        <v>1239</v>
      </c>
      <c r="J423">
        <v>5</v>
      </c>
      <c r="K423" t="s">
        <v>20</v>
      </c>
      <c r="L423">
        <v>281.93</v>
      </c>
      <c r="M423" t="str">
        <f t="shared" si="12"/>
        <v>Aug</v>
      </c>
      <c r="N423">
        <f t="shared" si="13"/>
        <v>2025</v>
      </c>
    </row>
    <row r="424" spans="1:14" x14ac:dyDescent="0.3">
      <c r="A424" t="s">
        <v>743</v>
      </c>
      <c r="B424" s="5">
        <v>45785</v>
      </c>
      <c r="C424" t="s">
        <v>91</v>
      </c>
      <c r="D424" t="s">
        <v>38</v>
      </c>
      <c r="E424" t="s">
        <v>67</v>
      </c>
      <c r="F424" t="s">
        <v>25</v>
      </c>
      <c r="G424" t="s">
        <v>57</v>
      </c>
      <c r="H424" t="s">
        <v>58</v>
      </c>
      <c r="I424">
        <v>56611</v>
      </c>
      <c r="J424">
        <v>4</v>
      </c>
      <c r="K424" t="s">
        <v>49</v>
      </c>
      <c r="L424">
        <v>7497.82</v>
      </c>
      <c r="M424" t="str">
        <f t="shared" si="12"/>
        <v>May</v>
      </c>
      <c r="N424">
        <f t="shared" si="13"/>
        <v>2025</v>
      </c>
    </row>
    <row r="425" spans="1:14" x14ac:dyDescent="0.3">
      <c r="A425" t="s">
        <v>744</v>
      </c>
      <c r="B425" s="5">
        <v>45742</v>
      </c>
      <c r="C425" t="s">
        <v>56</v>
      </c>
      <c r="D425" t="s">
        <v>15</v>
      </c>
      <c r="E425" t="s">
        <v>16</v>
      </c>
      <c r="F425" t="s">
        <v>46</v>
      </c>
      <c r="G425" t="s">
        <v>47</v>
      </c>
      <c r="H425" t="s">
        <v>48</v>
      </c>
      <c r="I425">
        <v>55743</v>
      </c>
      <c r="J425">
        <v>9</v>
      </c>
      <c r="K425" t="s">
        <v>34</v>
      </c>
      <c r="L425">
        <v>14097.73</v>
      </c>
      <c r="M425" t="str">
        <f t="shared" si="12"/>
        <v>Mar</v>
      </c>
      <c r="N425">
        <f t="shared" si="13"/>
        <v>2025</v>
      </c>
    </row>
    <row r="426" spans="1:14" x14ac:dyDescent="0.3">
      <c r="A426" t="s">
        <v>746</v>
      </c>
      <c r="B426" s="5">
        <v>45814</v>
      </c>
      <c r="C426" t="s">
        <v>91</v>
      </c>
      <c r="D426" t="s">
        <v>15</v>
      </c>
      <c r="E426" t="s">
        <v>16</v>
      </c>
      <c r="F426" t="s">
        <v>46</v>
      </c>
      <c r="G426" t="s">
        <v>87</v>
      </c>
      <c r="H426" t="s">
        <v>88</v>
      </c>
      <c r="I426">
        <v>31794</v>
      </c>
      <c r="J426">
        <v>2</v>
      </c>
      <c r="K426" t="s">
        <v>49</v>
      </c>
      <c r="L426">
        <v>4389.74</v>
      </c>
      <c r="M426" t="str">
        <f t="shared" si="12"/>
        <v>Jun</v>
      </c>
      <c r="N426">
        <f t="shared" si="13"/>
        <v>2025</v>
      </c>
    </row>
    <row r="427" spans="1:14" x14ac:dyDescent="0.3">
      <c r="A427" t="s">
        <v>748</v>
      </c>
      <c r="B427" s="5">
        <v>45975</v>
      </c>
      <c r="C427" t="s">
        <v>56</v>
      </c>
      <c r="D427" t="s">
        <v>23</v>
      </c>
      <c r="E427" t="s">
        <v>82</v>
      </c>
      <c r="F427" t="s">
        <v>25</v>
      </c>
      <c r="G427" t="s">
        <v>26</v>
      </c>
      <c r="H427" t="s">
        <v>27</v>
      </c>
      <c r="I427">
        <v>42133</v>
      </c>
      <c r="J427">
        <v>6</v>
      </c>
      <c r="K427" t="s">
        <v>28</v>
      </c>
      <c r="L427">
        <v>4088.61</v>
      </c>
      <c r="M427" t="str">
        <f t="shared" si="12"/>
        <v>Nov</v>
      </c>
      <c r="N427">
        <f t="shared" si="13"/>
        <v>2025</v>
      </c>
    </row>
    <row r="428" spans="1:14" x14ac:dyDescent="0.3">
      <c r="A428" t="s">
        <v>750</v>
      </c>
      <c r="B428" s="5">
        <v>45876</v>
      </c>
      <c r="C428" t="s">
        <v>14</v>
      </c>
      <c r="D428" t="s">
        <v>38</v>
      </c>
      <c r="E428" t="s">
        <v>39</v>
      </c>
      <c r="F428" t="s">
        <v>25</v>
      </c>
      <c r="G428" t="s">
        <v>26</v>
      </c>
      <c r="H428" t="s">
        <v>27</v>
      </c>
      <c r="I428">
        <v>54125</v>
      </c>
      <c r="J428">
        <v>1</v>
      </c>
      <c r="K428" t="s">
        <v>49</v>
      </c>
      <c r="L428">
        <v>5802.29</v>
      </c>
      <c r="M428" t="str">
        <f t="shared" si="12"/>
        <v>Aug</v>
      </c>
      <c r="N428">
        <f t="shared" si="13"/>
        <v>2025</v>
      </c>
    </row>
    <row r="429" spans="1:14" x14ac:dyDescent="0.3">
      <c r="A429" t="s">
        <v>752</v>
      </c>
      <c r="B429" s="5">
        <v>45936</v>
      </c>
      <c r="C429" t="s">
        <v>56</v>
      </c>
      <c r="D429" t="s">
        <v>15</v>
      </c>
      <c r="E429" t="s">
        <v>154</v>
      </c>
      <c r="F429" t="s">
        <v>25</v>
      </c>
      <c r="G429" t="s">
        <v>57</v>
      </c>
      <c r="H429" t="s">
        <v>58</v>
      </c>
      <c r="I429">
        <v>52818</v>
      </c>
      <c r="J429">
        <v>7</v>
      </c>
      <c r="K429" t="s">
        <v>28</v>
      </c>
      <c r="L429">
        <v>11113.71</v>
      </c>
      <c r="M429" t="str">
        <f t="shared" si="12"/>
        <v>Oct</v>
      </c>
      <c r="N429">
        <f t="shared" si="13"/>
        <v>2025</v>
      </c>
    </row>
    <row r="430" spans="1:14" x14ac:dyDescent="0.3">
      <c r="A430" t="s">
        <v>754</v>
      </c>
      <c r="B430" s="5">
        <v>45826</v>
      </c>
      <c r="C430" t="s">
        <v>63</v>
      </c>
      <c r="D430" t="s">
        <v>15</v>
      </c>
      <c r="E430" t="s">
        <v>73</v>
      </c>
      <c r="F430" t="s">
        <v>25</v>
      </c>
      <c r="G430" t="s">
        <v>40</v>
      </c>
      <c r="H430" t="s">
        <v>41</v>
      </c>
      <c r="I430">
        <v>21936</v>
      </c>
      <c r="J430">
        <v>1</v>
      </c>
      <c r="K430" t="s">
        <v>34</v>
      </c>
      <c r="L430">
        <v>4939.28</v>
      </c>
      <c r="M430" t="str">
        <f t="shared" si="12"/>
        <v>Jun</v>
      </c>
      <c r="N430">
        <f t="shared" si="13"/>
        <v>2025</v>
      </c>
    </row>
    <row r="431" spans="1:14" x14ac:dyDescent="0.3">
      <c r="A431" t="s">
        <v>755</v>
      </c>
      <c r="B431" s="5">
        <v>45847</v>
      </c>
      <c r="C431" t="s">
        <v>44</v>
      </c>
      <c r="D431" t="s">
        <v>15</v>
      </c>
      <c r="E431" t="s">
        <v>16</v>
      </c>
      <c r="F431" t="s">
        <v>17</v>
      </c>
      <c r="G431" t="s">
        <v>104</v>
      </c>
      <c r="H431" t="s">
        <v>105</v>
      </c>
      <c r="I431">
        <v>62799</v>
      </c>
      <c r="J431">
        <v>9</v>
      </c>
      <c r="K431" t="s">
        <v>53</v>
      </c>
      <c r="L431">
        <v>7843.46</v>
      </c>
      <c r="M431" t="str">
        <f t="shared" si="12"/>
        <v>Jul</v>
      </c>
      <c r="N431">
        <f t="shared" si="13"/>
        <v>2025</v>
      </c>
    </row>
    <row r="432" spans="1:14" x14ac:dyDescent="0.3">
      <c r="A432" t="s">
        <v>757</v>
      </c>
      <c r="B432" s="5">
        <v>46000</v>
      </c>
      <c r="C432" t="s">
        <v>31</v>
      </c>
      <c r="D432" t="s">
        <v>15</v>
      </c>
      <c r="E432" t="s">
        <v>16</v>
      </c>
      <c r="F432" t="s">
        <v>17</v>
      </c>
      <c r="G432" t="s">
        <v>76</v>
      </c>
      <c r="H432" t="s">
        <v>77</v>
      </c>
      <c r="I432">
        <v>34528</v>
      </c>
      <c r="J432">
        <v>3</v>
      </c>
      <c r="K432" t="s">
        <v>20</v>
      </c>
      <c r="L432">
        <v>6347.72</v>
      </c>
      <c r="M432" t="str">
        <f t="shared" si="12"/>
        <v>Dec</v>
      </c>
      <c r="N432">
        <f t="shared" si="13"/>
        <v>2025</v>
      </c>
    </row>
    <row r="433" spans="1:14" x14ac:dyDescent="0.3">
      <c r="A433" t="s">
        <v>758</v>
      </c>
      <c r="B433" s="5">
        <v>46021</v>
      </c>
      <c r="C433" t="s">
        <v>63</v>
      </c>
      <c r="D433" t="s">
        <v>38</v>
      </c>
      <c r="E433" t="s">
        <v>52</v>
      </c>
      <c r="F433" t="s">
        <v>46</v>
      </c>
      <c r="G433" t="s">
        <v>94</v>
      </c>
      <c r="H433" t="s">
        <v>95</v>
      </c>
      <c r="I433">
        <v>11055</v>
      </c>
      <c r="J433">
        <v>6</v>
      </c>
      <c r="K433" t="s">
        <v>28</v>
      </c>
      <c r="L433">
        <v>1935.15</v>
      </c>
      <c r="M433" t="str">
        <f t="shared" si="12"/>
        <v>Dec</v>
      </c>
      <c r="N433">
        <f t="shared" si="13"/>
        <v>2025</v>
      </c>
    </row>
    <row r="434" spans="1:14" x14ac:dyDescent="0.3">
      <c r="A434" t="s">
        <v>759</v>
      </c>
      <c r="B434" s="5">
        <v>45912</v>
      </c>
      <c r="C434" t="s">
        <v>121</v>
      </c>
      <c r="D434" t="s">
        <v>15</v>
      </c>
      <c r="E434" t="s">
        <v>16</v>
      </c>
      <c r="F434" t="s">
        <v>46</v>
      </c>
      <c r="G434" t="s">
        <v>47</v>
      </c>
      <c r="H434" t="s">
        <v>48</v>
      </c>
      <c r="I434">
        <v>2413</v>
      </c>
      <c r="J434">
        <v>7</v>
      </c>
      <c r="K434" t="s">
        <v>28</v>
      </c>
      <c r="L434">
        <v>250.2</v>
      </c>
      <c r="M434" t="str">
        <f t="shared" si="12"/>
        <v>Sep</v>
      </c>
      <c r="N434">
        <f t="shared" si="13"/>
        <v>2025</v>
      </c>
    </row>
    <row r="435" spans="1:14" x14ac:dyDescent="0.3">
      <c r="A435" t="s">
        <v>760</v>
      </c>
      <c r="B435" s="5">
        <v>45892</v>
      </c>
      <c r="C435" t="s">
        <v>63</v>
      </c>
      <c r="D435" t="s">
        <v>15</v>
      </c>
      <c r="E435" t="s">
        <v>16</v>
      </c>
      <c r="F435" t="s">
        <v>46</v>
      </c>
      <c r="G435" t="s">
        <v>87</v>
      </c>
      <c r="H435" t="s">
        <v>88</v>
      </c>
      <c r="I435">
        <v>19160</v>
      </c>
      <c r="J435">
        <v>8</v>
      </c>
      <c r="K435" t="s">
        <v>34</v>
      </c>
      <c r="L435">
        <v>3881.1</v>
      </c>
      <c r="M435" t="str">
        <f t="shared" si="12"/>
        <v>Aug</v>
      </c>
      <c r="N435">
        <f t="shared" si="13"/>
        <v>2025</v>
      </c>
    </row>
    <row r="436" spans="1:14" x14ac:dyDescent="0.3">
      <c r="A436" t="s">
        <v>761</v>
      </c>
      <c r="B436" s="5">
        <v>45906</v>
      </c>
      <c r="C436" t="s">
        <v>91</v>
      </c>
      <c r="D436" t="s">
        <v>15</v>
      </c>
      <c r="E436" t="s">
        <v>16</v>
      </c>
      <c r="F436" t="s">
        <v>17</v>
      </c>
      <c r="G436" t="s">
        <v>104</v>
      </c>
      <c r="H436" t="s">
        <v>105</v>
      </c>
      <c r="I436">
        <v>32184</v>
      </c>
      <c r="J436">
        <v>8</v>
      </c>
      <c r="K436" t="s">
        <v>34</v>
      </c>
      <c r="L436">
        <v>3481.19</v>
      </c>
      <c r="M436" t="str">
        <f t="shared" si="12"/>
        <v>Sep</v>
      </c>
      <c r="N436">
        <f t="shared" si="13"/>
        <v>2025</v>
      </c>
    </row>
    <row r="437" spans="1:14" x14ac:dyDescent="0.3">
      <c r="A437" t="s">
        <v>762</v>
      </c>
      <c r="B437" s="5">
        <v>45684</v>
      </c>
      <c r="C437" t="s">
        <v>14</v>
      </c>
      <c r="D437" t="s">
        <v>32</v>
      </c>
      <c r="E437" t="s">
        <v>33</v>
      </c>
      <c r="F437" t="s">
        <v>25</v>
      </c>
      <c r="G437" t="s">
        <v>40</v>
      </c>
      <c r="H437" t="s">
        <v>41</v>
      </c>
      <c r="I437">
        <v>40026</v>
      </c>
      <c r="J437">
        <v>7</v>
      </c>
      <c r="K437" t="s">
        <v>49</v>
      </c>
      <c r="L437">
        <v>6188.07</v>
      </c>
      <c r="M437" t="str">
        <f t="shared" si="12"/>
        <v>Jan</v>
      </c>
      <c r="N437">
        <f t="shared" si="13"/>
        <v>2025</v>
      </c>
    </row>
    <row r="438" spans="1:14" x14ac:dyDescent="0.3">
      <c r="A438" t="s">
        <v>764</v>
      </c>
      <c r="B438" s="5">
        <v>45829</v>
      </c>
      <c r="C438" t="s">
        <v>121</v>
      </c>
      <c r="D438" t="s">
        <v>38</v>
      </c>
      <c r="E438" t="s">
        <v>39</v>
      </c>
      <c r="F438" t="s">
        <v>25</v>
      </c>
      <c r="G438" t="s">
        <v>57</v>
      </c>
      <c r="H438" t="s">
        <v>58</v>
      </c>
      <c r="I438">
        <v>76316</v>
      </c>
      <c r="J438">
        <v>8</v>
      </c>
      <c r="K438" t="s">
        <v>34</v>
      </c>
      <c r="L438">
        <v>7714</v>
      </c>
      <c r="M438" t="str">
        <f t="shared" si="12"/>
        <v>Jun</v>
      </c>
      <c r="N438">
        <f t="shared" si="13"/>
        <v>2025</v>
      </c>
    </row>
    <row r="439" spans="1:14" x14ac:dyDescent="0.3">
      <c r="A439" t="s">
        <v>765</v>
      </c>
      <c r="B439" s="5">
        <v>45915</v>
      </c>
      <c r="C439" t="s">
        <v>66</v>
      </c>
      <c r="D439" t="s">
        <v>32</v>
      </c>
      <c r="E439" t="s">
        <v>33</v>
      </c>
      <c r="F439" t="s">
        <v>25</v>
      </c>
      <c r="G439" t="s">
        <v>40</v>
      </c>
      <c r="H439" t="s">
        <v>41</v>
      </c>
      <c r="I439">
        <v>72784</v>
      </c>
      <c r="J439">
        <v>10</v>
      </c>
      <c r="K439" t="s">
        <v>28</v>
      </c>
      <c r="L439">
        <v>15965.03</v>
      </c>
      <c r="M439" t="str">
        <f t="shared" si="12"/>
        <v>Sep</v>
      </c>
      <c r="N439">
        <f t="shared" si="13"/>
        <v>2025</v>
      </c>
    </row>
    <row r="440" spans="1:14" x14ac:dyDescent="0.3">
      <c r="A440" t="s">
        <v>766</v>
      </c>
      <c r="B440" s="5">
        <v>45891</v>
      </c>
      <c r="C440" t="s">
        <v>121</v>
      </c>
      <c r="D440" t="s">
        <v>23</v>
      </c>
      <c r="E440" t="s">
        <v>82</v>
      </c>
      <c r="F440" t="s">
        <v>25</v>
      </c>
      <c r="G440" t="s">
        <v>40</v>
      </c>
      <c r="H440" t="s">
        <v>41</v>
      </c>
      <c r="I440">
        <v>53689</v>
      </c>
      <c r="J440">
        <v>3</v>
      </c>
      <c r="K440" t="s">
        <v>53</v>
      </c>
      <c r="L440">
        <v>12622.57</v>
      </c>
      <c r="M440" t="str">
        <f t="shared" si="12"/>
        <v>Aug</v>
      </c>
      <c r="N440">
        <f t="shared" si="13"/>
        <v>2025</v>
      </c>
    </row>
    <row r="441" spans="1:14" x14ac:dyDescent="0.3">
      <c r="A441" t="s">
        <v>768</v>
      </c>
      <c r="B441" s="5">
        <v>45871</v>
      </c>
      <c r="C441" t="s">
        <v>91</v>
      </c>
      <c r="D441" t="s">
        <v>38</v>
      </c>
      <c r="E441" t="s">
        <v>52</v>
      </c>
      <c r="F441" t="s">
        <v>25</v>
      </c>
      <c r="G441" t="s">
        <v>40</v>
      </c>
      <c r="H441" t="s">
        <v>41</v>
      </c>
      <c r="I441">
        <v>60374</v>
      </c>
      <c r="J441">
        <v>6</v>
      </c>
      <c r="K441" t="s">
        <v>28</v>
      </c>
      <c r="L441">
        <v>14266.41</v>
      </c>
      <c r="M441" t="str">
        <f t="shared" si="12"/>
        <v>Aug</v>
      </c>
      <c r="N441">
        <f t="shared" si="13"/>
        <v>2025</v>
      </c>
    </row>
    <row r="442" spans="1:14" x14ac:dyDescent="0.3">
      <c r="A442" t="s">
        <v>769</v>
      </c>
      <c r="B442" s="5">
        <v>45993</v>
      </c>
      <c r="C442" t="s">
        <v>121</v>
      </c>
      <c r="D442" t="s">
        <v>38</v>
      </c>
      <c r="E442" t="s">
        <v>67</v>
      </c>
      <c r="F442" t="s">
        <v>25</v>
      </c>
      <c r="G442" t="s">
        <v>40</v>
      </c>
      <c r="H442" t="s">
        <v>41</v>
      </c>
      <c r="I442">
        <v>35570</v>
      </c>
      <c r="J442">
        <v>8</v>
      </c>
      <c r="K442" t="s">
        <v>34</v>
      </c>
      <c r="L442">
        <v>4279.0200000000004</v>
      </c>
      <c r="M442" t="str">
        <f t="shared" si="12"/>
        <v>Dec</v>
      </c>
      <c r="N442">
        <f t="shared" si="13"/>
        <v>2025</v>
      </c>
    </row>
    <row r="443" spans="1:14" x14ac:dyDescent="0.3">
      <c r="A443" t="s">
        <v>770</v>
      </c>
      <c r="B443" s="5">
        <v>45748</v>
      </c>
      <c r="C443" t="s">
        <v>44</v>
      </c>
      <c r="D443" t="s">
        <v>32</v>
      </c>
      <c r="E443" t="s">
        <v>33</v>
      </c>
      <c r="F443" t="s">
        <v>17</v>
      </c>
      <c r="G443" t="s">
        <v>76</v>
      </c>
      <c r="H443" t="s">
        <v>77</v>
      </c>
      <c r="I443">
        <v>10704</v>
      </c>
      <c r="J443">
        <v>1</v>
      </c>
      <c r="K443" t="s">
        <v>34</v>
      </c>
      <c r="L443">
        <v>1316.11</v>
      </c>
      <c r="M443" t="str">
        <f t="shared" si="12"/>
        <v>Apr</v>
      </c>
      <c r="N443">
        <f t="shared" si="13"/>
        <v>2025</v>
      </c>
    </row>
    <row r="444" spans="1:14" x14ac:dyDescent="0.3">
      <c r="A444" t="s">
        <v>771</v>
      </c>
      <c r="B444" s="5">
        <v>45925</v>
      </c>
      <c r="C444" t="s">
        <v>63</v>
      </c>
      <c r="D444" t="s">
        <v>32</v>
      </c>
      <c r="E444" t="s">
        <v>33</v>
      </c>
      <c r="F444" t="s">
        <v>46</v>
      </c>
      <c r="G444" t="s">
        <v>94</v>
      </c>
      <c r="H444" t="s">
        <v>95</v>
      </c>
      <c r="I444">
        <v>24385</v>
      </c>
      <c r="J444">
        <v>9</v>
      </c>
      <c r="K444" t="s">
        <v>20</v>
      </c>
      <c r="L444">
        <v>4777.79</v>
      </c>
      <c r="M444" t="str">
        <f t="shared" si="12"/>
        <v>Sep</v>
      </c>
      <c r="N444">
        <f t="shared" si="13"/>
        <v>2025</v>
      </c>
    </row>
    <row r="445" spans="1:14" x14ac:dyDescent="0.3">
      <c r="A445" t="s">
        <v>772</v>
      </c>
      <c r="B445" s="5">
        <v>45898</v>
      </c>
      <c r="C445" t="s">
        <v>14</v>
      </c>
      <c r="D445" t="s">
        <v>15</v>
      </c>
      <c r="E445" t="s">
        <v>73</v>
      </c>
      <c r="F445" t="s">
        <v>46</v>
      </c>
      <c r="G445" t="s">
        <v>94</v>
      </c>
      <c r="H445" t="s">
        <v>95</v>
      </c>
      <c r="I445">
        <v>13835</v>
      </c>
      <c r="J445">
        <v>8</v>
      </c>
      <c r="K445" t="s">
        <v>53</v>
      </c>
      <c r="L445">
        <v>2470.62</v>
      </c>
      <c r="M445" t="str">
        <f t="shared" si="12"/>
        <v>Aug</v>
      </c>
      <c r="N445">
        <f t="shared" si="13"/>
        <v>2025</v>
      </c>
    </row>
    <row r="446" spans="1:14" x14ac:dyDescent="0.3">
      <c r="A446" t="s">
        <v>773</v>
      </c>
      <c r="B446" s="5">
        <v>45943</v>
      </c>
      <c r="C446" t="s">
        <v>63</v>
      </c>
      <c r="D446" t="s">
        <v>32</v>
      </c>
      <c r="E446" t="s">
        <v>45</v>
      </c>
      <c r="F446" t="s">
        <v>25</v>
      </c>
      <c r="G446" t="s">
        <v>26</v>
      </c>
      <c r="H446" t="s">
        <v>27</v>
      </c>
      <c r="I446">
        <v>30738</v>
      </c>
      <c r="J446">
        <v>4</v>
      </c>
      <c r="K446" t="s">
        <v>49</v>
      </c>
      <c r="L446">
        <v>7440.59</v>
      </c>
      <c r="M446" t="str">
        <f t="shared" si="12"/>
        <v>Oct</v>
      </c>
      <c r="N446">
        <f t="shared" si="13"/>
        <v>2025</v>
      </c>
    </row>
    <row r="447" spans="1:14" x14ac:dyDescent="0.3">
      <c r="A447" t="s">
        <v>774</v>
      </c>
      <c r="B447" s="5">
        <v>45922</v>
      </c>
      <c r="C447" t="s">
        <v>31</v>
      </c>
      <c r="D447" t="s">
        <v>23</v>
      </c>
      <c r="E447" t="s">
        <v>82</v>
      </c>
      <c r="F447" t="s">
        <v>17</v>
      </c>
      <c r="G447" t="s">
        <v>104</v>
      </c>
      <c r="H447" t="s">
        <v>105</v>
      </c>
      <c r="I447">
        <v>39957</v>
      </c>
      <c r="J447">
        <v>6</v>
      </c>
      <c r="K447" t="s">
        <v>34</v>
      </c>
      <c r="L447">
        <v>3254.11</v>
      </c>
      <c r="M447" t="str">
        <f t="shared" si="12"/>
        <v>Sep</v>
      </c>
      <c r="N447">
        <f t="shared" si="13"/>
        <v>2025</v>
      </c>
    </row>
    <row r="448" spans="1:14" x14ac:dyDescent="0.3">
      <c r="A448" t="s">
        <v>775</v>
      </c>
      <c r="B448" s="5">
        <v>45794</v>
      </c>
      <c r="C448" t="s">
        <v>91</v>
      </c>
      <c r="D448" t="s">
        <v>15</v>
      </c>
      <c r="E448" t="s">
        <v>154</v>
      </c>
      <c r="F448" t="s">
        <v>17</v>
      </c>
      <c r="G448" t="s">
        <v>18</v>
      </c>
      <c r="H448" t="s">
        <v>19</v>
      </c>
      <c r="I448">
        <v>27361</v>
      </c>
      <c r="J448">
        <v>4</v>
      </c>
      <c r="K448" t="s">
        <v>20</v>
      </c>
      <c r="L448">
        <v>2821.62</v>
      </c>
      <c r="M448" t="str">
        <f t="shared" si="12"/>
        <v>May</v>
      </c>
      <c r="N448">
        <f t="shared" si="13"/>
        <v>2025</v>
      </c>
    </row>
    <row r="449" spans="1:14" x14ac:dyDescent="0.3">
      <c r="A449" t="s">
        <v>776</v>
      </c>
      <c r="B449" s="5">
        <v>45963</v>
      </c>
      <c r="C449" t="s">
        <v>63</v>
      </c>
      <c r="D449" t="s">
        <v>32</v>
      </c>
      <c r="E449" t="s">
        <v>116</v>
      </c>
      <c r="F449" t="s">
        <v>17</v>
      </c>
      <c r="G449" t="s">
        <v>76</v>
      </c>
      <c r="H449" t="s">
        <v>77</v>
      </c>
      <c r="I449">
        <v>54498</v>
      </c>
      <c r="J449">
        <v>1</v>
      </c>
      <c r="K449" t="s">
        <v>28</v>
      </c>
      <c r="L449">
        <v>5212.68</v>
      </c>
      <c r="M449" t="str">
        <f t="shared" si="12"/>
        <v>Nov</v>
      </c>
      <c r="N449">
        <f t="shared" si="13"/>
        <v>2025</v>
      </c>
    </row>
    <row r="450" spans="1:14" x14ac:dyDescent="0.3">
      <c r="A450" t="s">
        <v>777</v>
      </c>
      <c r="B450" s="5">
        <v>45687</v>
      </c>
      <c r="C450" t="s">
        <v>121</v>
      </c>
      <c r="D450" t="s">
        <v>23</v>
      </c>
      <c r="E450" t="s">
        <v>24</v>
      </c>
      <c r="F450" t="s">
        <v>25</v>
      </c>
      <c r="G450" t="s">
        <v>57</v>
      </c>
      <c r="H450" t="s">
        <v>58</v>
      </c>
      <c r="I450">
        <v>26442</v>
      </c>
      <c r="J450">
        <v>3</v>
      </c>
      <c r="K450" t="s">
        <v>34</v>
      </c>
      <c r="L450">
        <v>5997.64</v>
      </c>
      <c r="M450" t="str">
        <f t="shared" si="12"/>
        <v>Jan</v>
      </c>
      <c r="N450">
        <f t="shared" si="13"/>
        <v>2025</v>
      </c>
    </row>
    <row r="451" spans="1:14" x14ac:dyDescent="0.3">
      <c r="A451" t="s">
        <v>779</v>
      </c>
      <c r="B451" s="5">
        <v>45768</v>
      </c>
      <c r="C451" t="s">
        <v>44</v>
      </c>
      <c r="D451" t="s">
        <v>32</v>
      </c>
      <c r="E451" t="s">
        <v>33</v>
      </c>
      <c r="F451" t="s">
        <v>17</v>
      </c>
      <c r="G451" t="s">
        <v>76</v>
      </c>
      <c r="H451" t="s">
        <v>77</v>
      </c>
      <c r="I451">
        <v>3406</v>
      </c>
      <c r="J451">
        <v>5</v>
      </c>
      <c r="K451" t="s">
        <v>20</v>
      </c>
      <c r="L451">
        <v>932.98</v>
      </c>
      <c r="M451" t="str">
        <f t="shared" ref="M451:M514" si="14">TEXT(B451,"mmm")</f>
        <v>Apr</v>
      </c>
      <c r="N451">
        <f t="shared" ref="N451:N514" si="15">YEAR(B451)</f>
        <v>2025</v>
      </c>
    </row>
    <row r="452" spans="1:14" x14ac:dyDescent="0.3">
      <c r="A452" t="s">
        <v>780</v>
      </c>
      <c r="B452" s="5">
        <v>45694</v>
      </c>
      <c r="C452" t="s">
        <v>72</v>
      </c>
      <c r="D452" t="s">
        <v>38</v>
      </c>
      <c r="E452" t="s">
        <v>52</v>
      </c>
      <c r="F452" t="s">
        <v>25</v>
      </c>
      <c r="G452" t="s">
        <v>40</v>
      </c>
      <c r="H452" t="s">
        <v>41</v>
      </c>
      <c r="I452">
        <v>8323</v>
      </c>
      <c r="J452">
        <v>8</v>
      </c>
      <c r="K452" t="s">
        <v>20</v>
      </c>
      <c r="L452">
        <v>2243.86</v>
      </c>
      <c r="M452" t="str">
        <f t="shared" si="14"/>
        <v>Feb</v>
      </c>
      <c r="N452">
        <f t="shared" si="15"/>
        <v>2025</v>
      </c>
    </row>
    <row r="453" spans="1:14" x14ac:dyDescent="0.3">
      <c r="A453" t="s">
        <v>781</v>
      </c>
      <c r="B453" s="5">
        <v>45723</v>
      </c>
      <c r="C453" t="s">
        <v>63</v>
      </c>
      <c r="D453" t="s">
        <v>23</v>
      </c>
      <c r="E453" t="s">
        <v>129</v>
      </c>
      <c r="F453" t="s">
        <v>46</v>
      </c>
      <c r="G453" t="s">
        <v>94</v>
      </c>
      <c r="H453" t="s">
        <v>95</v>
      </c>
      <c r="I453">
        <v>73888</v>
      </c>
      <c r="J453">
        <v>2</v>
      </c>
      <c r="K453" t="s">
        <v>20</v>
      </c>
      <c r="L453">
        <v>11969.79</v>
      </c>
      <c r="M453" t="str">
        <f t="shared" si="14"/>
        <v>Mar</v>
      </c>
      <c r="N453">
        <f t="shared" si="15"/>
        <v>2025</v>
      </c>
    </row>
    <row r="454" spans="1:14" x14ac:dyDescent="0.3">
      <c r="A454" t="s">
        <v>782</v>
      </c>
      <c r="B454" s="5">
        <v>45842</v>
      </c>
      <c r="C454" t="s">
        <v>121</v>
      </c>
      <c r="D454" t="s">
        <v>38</v>
      </c>
      <c r="E454" t="s">
        <v>39</v>
      </c>
      <c r="F454" t="s">
        <v>25</v>
      </c>
      <c r="G454" t="s">
        <v>57</v>
      </c>
      <c r="H454" t="s">
        <v>58</v>
      </c>
      <c r="I454">
        <v>75407</v>
      </c>
      <c r="J454">
        <v>3</v>
      </c>
      <c r="K454" t="s">
        <v>28</v>
      </c>
      <c r="L454">
        <v>17012.28</v>
      </c>
      <c r="M454" t="str">
        <f t="shared" si="14"/>
        <v>Jul</v>
      </c>
      <c r="N454">
        <f t="shared" si="15"/>
        <v>2025</v>
      </c>
    </row>
    <row r="455" spans="1:14" x14ac:dyDescent="0.3">
      <c r="A455" t="s">
        <v>783</v>
      </c>
      <c r="B455" s="5">
        <v>45793</v>
      </c>
      <c r="C455" t="s">
        <v>121</v>
      </c>
      <c r="D455" t="s">
        <v>38</v>
      </c>
      <c r="E455" t="s">
        <v>39</v>
      </c>
      <c r="F455" t="s">
        <v>46</v>
      </c>
      <c r="G455" t="s">
        <v>47</v>
      </c>
      <c r="H455" t="s">
        <v>48</v>
      </c>
      <c r="I455">
        <v>44751</v>
      </c>
      <c r="J455">
        <v>7</v>
      </c>
      <c r="K455" t="s">
        <v>53</v>
      </c>
      <c r="L455">
        <v>3680.34</v>
      </c>
      <c r="M455" t="str">
        <f t="shared" si="14"/>
        <v>May</v>
      </c>
      <c r="N455">
        <f t="shared" si="15"/>
        <v>2025</v>
      </c>
    </row>
    <row r="456" spans="1:14" x14ac:dyDescent="0.3">
      <c r="A456" t="s">
        <v>784</v>
      </c>
      <c r="B456" s="5">
        <v>45677</v>
      </c>
      <c r="C456" t="s">
        <v>121</v>
      </c>
      <c r="D456" t="s">
        <v>38</v>
      </c>
      <c r="E456" t="s">
        <v>67</v>
      </c>
      <c r="F456" t="s">
        <v>46</v>
      </c>
      <c r="G456" t="s">
        <v>94</v>
      </c>
      <c r="H456" t="s">
        <v>95</v>
      </c>
      <c r="I456">
        <v>55870</v>
      </c>
      <c r="J456">
        <v>1</v>
      </c>
      <c r="K456" t="s">
        <v>28</v>
      </c>
      <c r="L456">
        <v>10394.91</v>
      </c>
      <c r="M456" t="str">
        <f t="shared" si="14"/>
        <v>Jan</v>
      </c>
      <c r="N456">
        <f t="shared" si="15"/>
        <v>2025</v>
      </c>
    </row>
    <row r="457" spans="1:14" x14ac:dyDescent="0.3">
      <c r="A457" t="s">
        <v>785</v>
      </c>
      <c r="B457" s="5">
        <v>45722</v>
      </c>
      <c r="C457" t="s">
        <v>31</v>
      </c>
      <c r="D457" t="s">
        <v>23</v>
      </c>
      <c r="E457" t="s">
        <v>129</v>
      </c>
      <c r="F457" t="s">
        <v>17</v>
      </c>
      <c r="G457" t="s">
        <v>76</v>
      </c>
      <c r="H457" t="s">
        <v>77</v>
      </c>
      <c r="I457">
        <v>2948</v>
      </c>
      <c r="J457">
        <v>6</v>
      </c>
      <c r="K457" t="s">
        <v>20</v>
      </c>
      <c r="L457">
        <v>517.42999999999995</v>
      </c>
      <c r="M457" t="str">
        <f t="shared" si="14"/>
        <v>Mar</v>
      </c>
      <c r="N457">
        <f t="shared" si="15"/>
        <v>2025</v>
      </c>
    </row>
    <row r="458" spans="1:14" x14ac:dyDescent="0.3">
      <c r="A458" t="s">
        <v>787</v>
      </c>
      <c r="B458" s="5">
        <v>45824</v>
      </c>
      <c r="C458" t="s">
        <v>63</v>
      </c>
      <c r="D458" t="s">
        <v>23</v>
      </c>
      <c r="E458" t="s">
        <v>82</v>
      </c>
      <c r="F458" t="s">
        <v>17</v>
      </c>
      <c r="G458" t="s">
        <v>76</v>
      </c>
      <c r="H458" t="s">
        <v>77</v>
      </c>
      <c r="I458">
        <v>29785</v>
      </c>
      <c r="J458">
        <v>8</v>
      </c>
      <c r="K458" t="s">
        <v>49</v>
      </c>
      <c r="L458">
        <v>7691.15</v>
      </c>
      <c r="M458" t="str">
        <f t="shared" si="14"/>
        <v>Jun</v>
      </c>
      <c r="N458">
        <f t="shared" si="15"/>
        <v>2025</v>
      </c>
    </row>
    <row r="459" spans="1:14" x14ac:dyDescent="0.3">
      <c r="A459" t="s">
        <v>788</v>
      </c>
      <c r="B459" s="5">
        <v>45880</v>
      </c>
      <c r="C459" t="s">
        <v>63</v>
      </c>
      <c r="D459" t="s">
        <v>32</v>
      </c>
      <c r="E459" t="s">
        <v>33</v>
      </c>
      <c r="F459" t="s">
        <v>46</v>
      </c>
      <c r="G459" t="s">
        <v>47</v>
      </c>
      <c r="H459" t="s">
        <v>48</v>
      </c>
      <c r="I459">
        <v>35798</v>
      </c>
      <c r="J459">
        <v>1</v>
      </c>
      <c r="K459" t="s">
        <v>20</v>
      </c>
      <c r="L459">
        <v>6732.47</v>
      </c>
      <c r="M459" t="str">
        <f t="shared" si="14"/>
        <v>Aug</v>
      </c>
      <c r="N459">
        <f t="shared" si="15"/>
        <v>2025</v>
      </c>
    </row>
    <row r="460" spans="1:14" x14ac:dyDescent="0.3">
      <c r="A460" t="s">
        <v>789</v>
      </c>
      <c r="B460" s="5">
        <v>45703</v>
      </c>
      <c r="C460" t="s">
        <v>63</v>
      </c>
      <c r="D460" t="s">
        <v>23</v>
      </c>
      <c r="E460" t="s">
        <v>82</v>
      </c>
      <c r="F460" t="s">
        <v>25</v>
      </c>
      <c r="G460" t="s">
        <v>57</v>
      </c>
      <c r="H460" t="s">
        <v>58</v>
      </c>
      <c r="I460">
        <v>55992</v>
      </c>
      <c r="J460">
        <v>10</v>
      </c>
      <c r="K460" t="s">
        <v>20</v>
      </c>
      <c r="L460">
        <v>15123.16</v>
      </c>
      <c r="M460" t="str">
        <f t="shared" si="14"/>
        <v>Feb</v>
      </c>
      <c r="N460">
        <f t="shared" si="15"/>
        <v>2025</v>
      </c>
    </row>
    <row r="461" spans="1:14" x14ac:dyDescent="0.3">
      <c r="A461" t="s">
        <v>790</v>
      </c>
      <c r="B461" s="5">
        <v>45793</v>
      </c>
      <c r="C461" t="s">
        <v>66</v>
      </c>
      <c r="D461" t="s">
        <v>32</v>
      </c>
      <c r="E461" t="s">
        <v>45</v>
      </c>
      <c r="F461" t="s">
        <v>25</v>
      </c>
      <c r="G461" t="s">
        <v>40</v>
      </c>
      <c r="H461" t="s">
        <v>41</v>
      </c>
      <c r="I461">
        <v>22741</v>
      </c>
      <c r="J461">
        <v>8</v>
      </c>
      <c r="K461" t="s">
        <v>20</v>
      </c>
      <c r="L461">
        <v>4116.13</v>
      </c>
      <c r="M461" t="str">
        <f t="shared" si="14"/>
        <v>May</v>
      </c>
      <c r="N461">
        <f t="shared" si="15"/>
        <v>2025</v>
      </c>
    </row>
    <row r="462" spans="1:14" x14ac:dyDescent="0.3">
      <c r="A462" t="s">
        <v>791</v>
      </c>
      <c r="B462" s="5">
        <v>45674</v>
      </c>
      <c r="C462" t="s">
        <v>31</v>
      </c>
      <c r="D462" t="s">
        <v>23</v>
      </c>
      <c r="E462" t="s">
        <v>24</v>
      </c>
      <c r="F462" t="s">
        <v>46</v>
      </c>
      <c r="G462" t="s">
        <v>47</v>
      </c>
      <c r="H462" t="s">
        <v>48</v>
      </c>
      <c r="I462">
        <v>22963</v>
      </c>
      <c r="J462">
        <v>10</v>
      </c>
      <c r="K462" t="s">
        <v>53</v>
      </c>
      <c r="L462">
        <v>4538.29</v>
      </c>
      <c r="M462" t="str">
        <f t="shared" si="14"/>
        <v>Jan</v>
      </c>
      <c r="N462">
        <f t="shared" si="15"/>
        <v>2025</v>
      </c>
    </row>
    <row r="463" spans="1:14" x14ac:dyDescent="0.3">
      <c r="A463" t="s">
        <v>793</v>
      </c>
      <c r="B463" s="5">
        <v>45849</v>
      </c>
      <c r="C463" t="s">
        <v>37</v>
      </c>
      <c r="D463" t="s">
        <v>15</v>
      </c>
      <c r="E463" t="s">
        <v>154</v>
      </c>
      <c r="F463" t="s">
        <v>25</v>
      </c>
      <c r="G463" t="s">
        <v>40</v>
      </c>
      <c r="H463" t="s">
        <v>41</v>
      </c>
      <c r="I463">
        <v>57948</v>
      </c>
      <c r="J463">
        <v>6</v>
      </c>
      <c r="K463" t="s">
        <v>34</v>
      </c>
      <c r="L463">
        <v>5623.33</v>
      </c>
      <c r="M463" t="str">
        <f t="shared" si="14"/>
        <v>Jul</v>
      </c>
      <c r="N463">
        <f t="shared" si="15"/>
        <v>2025</v>
      </c>
    </row>
    <row r="464" spans="1:14" x14ac:dyDescent="0.3">
      <c r="A464" t="s">
        <v>794</v>
      </c>
      <c r="B464" s="5">
        <v>45761</v>
      </c>
      <c r="C464" t="s">
        <v>56</v>
      </c>
      <c r="D464" t="s">
        <v>15</v>
      </c>
      <c r="E464" t="s">
        <v>73</v>
      </c>
      <c r="F464" t="s">
        <v>25</v>
      </c>
      <c r="G464" t="s">
        <v>57</v>
      </c>
      <c r="H464" t="s">
        <v>58</v>
      </c>
      <c r="I464">
        <v>64148</v>
      </c>
      <c r="J464">
        <v>5</v>
      </c>
      <c r="K464" t="s">
        <v>34</v>
      </c>
      <c r="L464">
        <v>11424.44</v>
      </c>
      <c r="M464" t="str">
        <f t="shared" si="14"/>
        <v>Apr</v>
      </c>
      <c r="N464">
        <f t="shared" si="15"/>
        <v>2025</v>
      </c>
    </row>
    <row r="465" spans="1:14" x14ac:dyDescent="0.3">
      <c r="A465" t="s">
        <v>796</v>
      </c>
      <c r="B465" s="5">
        <v>45979</v>
      </c>
      <c r="C465" t="s">
        <v>66</v>
      </c>
      <c r="D465" t="s">
        <v>32</v>
      </c>
      <c r="E465" t="s">
        <v>116</v>
      </c>
      <c r="F465" t="s">
        <v>25</v>
      </c>
      <c r="G465" t="s">
        <v>40</v>
      </c>
      <c r="H465" t="s">
        <v>41</v>
      </c>
      <c r="I465">
        <v>38637</v>
      </c>
      <c r="J465">
        <v>4</v>
      </c>
      <c r="K465" t="s">
        <v>20</v>
      </c>
      <c r="L465">
        <v>4626.6899999999996</v>
      </c>
      <c r="M465" t="str">
        <f t="shared" si="14"/>
        <v>Nov</v>
      </c>
      <c r="N465">
        <f t="shared" si="15"/>
        <v>2025</v>
      </c>
    </row>
    <row r="466" spans="1:14" x14ac:dyDescent="0.3">
      <c r="A466" t="s">
        <v>797</v>
      </c>
      <c r="B466" s="5">
        <v>45685</v>
      </c>
      <c r="C466" t="s">
        <v>14</v>
      </c>
      <c r="D466" t="s">
        <v>15</v>
      </c>
      <c r="E466" t="s">
        <v>73</v>
      </c>
      <c r="F466" t="s">
        <v>17</v>
      </c>
      <c r="G466" t="s">
        <v>104</v>
      </c>
      <c r="H466" t="s">
        <v>105</v>
      </c>
      <c r="I466">
        <v>1693</v>
      </c>
      <c r="J466">
        <v>1</v>
      </c>
      <c r="K466" t="s">
        <v>34</v>
      </c>
      <c r="L466">
        <v>137.66</v>
      </c>
      <c r="M466" t="str">
        <f t="shared" si="14"/>
        <v>Jan</v>
      </c>
      <c r="N466">
        <f t="shared" si="15"/>
        <v>2025</v>
      </c>
    </row>
    <row r="467" spans="1:14" x14ac:dyDescent="0.3">
      <c r="A467" t="s">
        <v>798</v>
      </c>
      <c r="B467" s="5">
        <v>45893</v>
      </c>
      <c r="C467" t="s">
        <v>14</v>
      </c>
      <c r="D467" t="s">
        <v>15</v>
      </c>
      <c r="E467" t="s">
        <v>154</v>
      </c>
      <c r="F467" t="s">
        <v>46</v>
      </c>
      <c r="G467" t="s">
        <v>87</v>
      </c>
      <c r="H467" t="s">
        <v>88</v>
      </c>
      <c r="I467">
        <v>43436</v>
      </c>
      <c r="J467">
        <v>2</v>
      </c>
      <c r="K467" t="s">
        <v>28</v>
      </c>
      <c r="L467">
        <v>4503.67</v>
      </c>
      <c r="M467" t="str">
        <f t="shared" si="14"/>
        <v>Aug</v>
      </c>
      <c r="N467">
        <f t="shared" si="15"/>
        <v>2025</v>
      </c>
    </row>
    <row r="468" spans="1:14" x14ac:dyDescent="0.3">
      <c r="A468" t="s">
        <v>800</v>
      </c>
      <c r="B468" s="5">
        <v>45767</v>
      </c>
      <c r="C468" t="s">
        <v>14</v>
      </c>
      <c r="D468" t="s">
        <v>38</v>
      </c>
      <c r="E468" t="s">
        <v>52</v>
      </c>
      <c r="F468" t="s">
        <v>25</v>
      </c>
      <c r="G468" t="s">
        <v>40</v>
      </c>
      <c r="H468" t="s">
        <v>41</v>
      </c>
      <c r="I468">
        <v>46784</v>
      </c>
      <c r="J468">
        <v>10</v>
      </c>
      <c r="K468" t="s">
        <v>53</v>
      </c>
      <c r="L468">
        <v>4813.49</v>
      </c>
      <c r="M468" t="str">
        <f t="shared" si="14"/>
        <v>Apr</v>
      </c>
      <c r="N468">
        <f t="shared" si="15"/>
        <v>2025</v>
      </c>
    </row>
    <row r="469" spans="1:14" x14ac:dyDescent="0.3">
      <c r="A469" t="s">
        <v>801</v>
      </c>
      <c r="B469" s="5">
        <v>45996</v>
      </c>
      <c r="C469" t="s">
        <v>44</v>
      </c>
      <c r="D469" t="s">
        <v>15</v>
      </c>
      <c r="E469" t="s">
        <v>154</v>
      </c>
      <c r="F469" t="s">
        <v>25</v>
      </c>
      <c r="G469" t="s">
        <v>40</v>
      </c>
      <c r="H469" t="s">
        <v>41</v>
      </c>
      <c r="I469">
        <v>45621</v>
      </c>
      <c r="J469">
        <v>9</v>
      </c>
      <c r="K469" t="s">
        <v>28</v>
      </c>
      <c r="L469">
        <v>3189.76</v>
      </c>
      <c r="M469" t="str">
        <f t="shared" si="14"/>
        <v>Dec</v>
      </c>
      <c r="N469">
        <f t="shared" si="15"/>
        <v>2025</v>
      </c>
    </row>
    <row r="470" spans="1:14" x14ac:dyDescent="0.3">
      <c r="A470" t="s">
        <v>802</v>
      </c>
      <c r="B470" s="5">
        <v>45733</v>
      </c>
      <c r="C470" t="s">
        <v>31</v>
      </c>
      <c r="D470" t="s">
        <v>15</v>
      </c>
      <c r="E470" t="s">
        <v>16</v>
      </c>
      <c r="F470" t="s">
        <v>46</v>
      </c>
      <c r="G470" t="s">
        <v>94</v>
      </c>
      <c r="H470" t="s">
        <v>95</v>
      </c>
      <c r="I470">
        <v>20838</v>
      </c>
      <c r="J470">
        <v>8</v>
      </c>
      <c r="K470" t="s">
        <v>53</v>
      </c>
      <c r="L470">
        <v>3822.14</v>
      </c>
      <c r="M470" t="str">
        <f t="shared" si="14"/>
        <v>Mar</v>
      </c>
      <c r="N470">
        <f t="shared" si="15"/>
        <v>2025</v>
      </c>
    </row>
    <row r="471" spans="1:14" x14ac:dyDescent="0.3">
      <c r="A471" t="s">
        <v>804</v>
      </c>
      <c r="B471" s="5">
        <v>45827</v>
      </c>
      <c r="C471" t="s">
        <v>66</v>
      </c>
      <c r="D471" t="s">
        <v>38</v>
      </c>
      <c r="E471" t="s">
        <v>39</v>
      </c>
      <c r="F471" t="s">
        <v>17</v>
      </c>
      <c r="G471" t="s">
        <v>76</v>
      </c>
      <c r="H471" t="s">
        <v>77</v>
      </c>
      <c r="I471">
        <v>42147</v>
      </c>
      <c r="J471">
        <v>6</v>
      </c>
      <c r="K471" t="s">
        <v>20</v>
      </c>
      <c r="L471">
        <v>9509.75</v>
      </c>
      <c r="M471" t="str">
        <f t="shared" si="14"/>
        <v>Jun</v>
      </c>
      <c r="N471">
        <f t="shared" si="15"/>
        <v>2025</v>
      </c>
    </row>
    <row r="472" spans="1:14" x14ac:dyDescent="0.3">
      <c r="A472" t="s">
        <v>805</v>
      </c>
      <c r="B472" s="5">
        <v>45989</v>
      </c>
      <c r="C472" t="s">
        <v>72</v>
      </c>
      <c r="D472" t="s">
        <v>23</v>
      </c>
      <c r="E472" t="s">
        <v>82</v>
      </c>
      <c r="F472" t="s">
        <v>46</v>
      </c>
      <c r="G472" t="s">
        <v>94</v>
      </c>
      <c r="H472" t="s">
        <v>95</v>
      </c>
      <c r="I472">
        <v>12519</v>
      </c>
      <c r="J472">
        <v>4</v>
      </c>
      <c r="K472" t="s">
        <v>53</v>
      </c>
      <c r="L472">
        <v>3123.92</v>
      </c>
      <c r="M472" t="str">
        <f t="shared" si="14"/>
        <v>Nov</v>
      </c>
      <c r="N472">
        <f t="shared" si="15"/>
        <v>2025</v>
      </c>
    </row>
    <row r="473" spans="1:14" x14ac:dyDescent="0.3">
      <c r="A473" t="s">
        <v>806</v>
      </c>
      <c r="B473" s="5">
        <v>45699</v>
      </c>
      <c r="C473" t="s">
        <v>63</v>
      </c>
      <c r="D473" t="s">
        <v>32</v>
      </c>
      <c r="E473" t="s">
        <v>45</v>
      </c>
      <c r="F473" t="s">
        <v>25</v>
      </c>
      <c r="G473" t="s">
        <v>57</v>
      </c>
      <c r="H473" t="s">
        <v>58</v>
      </c>
      <c r="I473">
        <v>29946</v>
      </c>
      <c r="J473">
        <v>8</v>
      </c>
      <c r="K473" t="s">
        <v>49</v>
      </c>
      <c r="L473">
        <v>4740.74</v>
      </c>
      <c r="M473" t="str">
        <f t="shared" si="14"/>
        <v>Feb</v>
      </c>
      <c r="N473">
        <f t="shared" si="15"/>
        <v>2025</v>
      </c>
    </row>
    <row r="474" spans="1:14" x14ac:dyDescent="0.3">
      <c r="A474" t="s">
        <v>807</v>
      </c>
      <c r="B474" s="5">
        <v>45978</v>
      </c>
      <c r="C474" t="s">
        <v>66</v>
      </c>
      <c r="D474" t="s">
        <v>38</v>
      </c>
      <c r="E474" t="s">
        <v>39</v>
      </c>
      <c r="F474" t="s">
        <v>46</v>
      </c>
      <c r="G474" t="s">
        <v>87</v>
      </c>
      <c r="H474" t="s">
        <v>88</v>
      </c>
      <c r="I474">
        <v>7492</v>
      </c>
      <c r="J474">
        <v>4</v>
      </c>
      <c r="K474" t="s">
        <v>28</v>
      </c>
      <c r="L474">
        <v>1951.08</v>
      </c>
      <c r="M474" t="str">
        <f t="shared" si="14"/>
        <v>Nov</v>
      </c>
      <c r="N474">
        <f t="shared" si="15"/>
        <v>2025</v>
      </c>
    </row>
    <row r="475" spans="1:14" x14ac:dyDescent="0.3">
      <c r="A475" t="s">
        <v>808</v>
      </c>
      <c r="B475" s="5">
        <v>45681</v>
      </c>
      <c r="C475" t="s">
        <v>63</v>
      </c>
      <c r="D475" t="s">
        <v>15</v>
      </c>
      <c r="E475" t="s">
        <v>154</v>
      </c>
      <c r="F475" t="s">
        <v>17</v>
      </c>
      <c r="G475" t="s">
        <v>18</v>
      </c>
      <c r="H475" t="s">
        <v>19</v>
      </c>
      <c r="I475">
        <v>70322</v>
      </c>
      <c r="J475">
        <v>7</v>
      </c>
      <c r="K475" t="s">
        <v>28</v>
      </c>
      <c r="L475">
        <v>7760.78</v>
      </c>
      <c r="M475" t="str">
        <f t="shared" si="14"/>
        <v>Jan</v>
      </c>
      <c r="N475">
        <f t="shared" si="15"/>
        <v>2025</v>
      </c>
    </row>
    <row r="476" spans="1:14" x14ac:dyDescent="0.3">
      <c r="A476" t="s">
        <v>810</v>
      </c>
      <c r="B476" s="5">
        <v>45942</v>
      </c>
      <c r="C476" t="s">
        <v>14</v>
      </c>
      <c r="D476" t="s">
        <v>38</v>
      </c>
      <c r="E476" t="s">
        <v>39</v>
      </c>
      <c r="F476" t="s">
        <v>25</v>
      </c>
      <c r="G476" t="s">
        <v>26</v>
      </c>
      <c r="H476" t="s">
        <v>27</v>
      </c>
      <c r="I476">
        <v>53520</v>
      </c>
      <c r="J476">
        <v>10</v>
      </c>
      <c r="K476" t="s">
        <v>53</v>
      </c>
      <c r="L476">
        <v>10308.89</v>
      </c>
      <c r="M476" t="str">
        <f t="shared" si="14"/>
        <v>Oct</v>
      </c>
      <c r="N476">
        <f t="shared" si="15"/>
        <v>2025</v>
      </c>
    </row>
    <row r="477" spans="1:14" x14ac:dyDescent="0.3">
      <c r="A477" t="s">
        <v>811</v>
      </c>
      <c r="B477" s="5">
        <v>45980</v>
      </c>
      <c r="C477" t="s">
        <v>31</v>
      </c>
      <c r="D477" t="s">
        <v>32</v>
      </c>
      <c r="E477" t="s">
        <v>33</v>
      </c>
      <c r="F477" t="s">
        <v>17</v>
      </c>
      <c r="G477" t="s">
        <v>104</v>
      </c>
      <c r="H477" t="s">
        <v>105</v>
      </c>
      <c r="I477">
        <v>16318</v>
      </c>
      <c r="J477">
        <v>6</v>
      </c>
      <c r="K477" t="s">
        <v>28</v>
      </c>
      <c r="L477">
        <v>1319.44</v>
      </c>
      <c r="M477" t="str">
        <f t="shared" si="14"/>
        <v>Nov</v>
      </c>
      <c r="N477">
        <f t="shared" si="15"/>
        <v>2025</v>
      </c>
    </row>
    <row r="478" spans="1:14" x14ac:dyDescent="0.3">
      <c r="A478" t="s">
        <v>812</v>
      </c>
      <c r="B478" s="5">
        <v>45886</v>
      </c>
      <c r="C478" t="s">
        <v>66</v>
      </c>
      <c r="D478" t="s">
        <v>38</v>
      </c>
      <c r="E478" t="s">
        <v>67</v>
      </c>
      <c r="F478" t="s">
        <v>25</v>
      </c>
      <c r="G478" t="s">
        <v>57</v>
      </c>
      <c r="H478" t="s">
        <v>58</v>
      </c>
      <c r="I478">
        <v>71982</v>
      </c>
      <c r="J478">
        <v>9</v>
      </c>
      <c r="K478" t="s">
        <v>53</v>
      </c>
      <c r="L478">
        <v>12324.02</v>
      </c>
      <c r="M478" t="str">
        <f t="shared" si="14"/>
        <v>Aug</v>
      </c>
      <c r="N478">
        <f t="shared" si="15"/>
        <v>2025</v>
      </c>
    </row>
    <row r="479" spans="1:14" x14ac:dyDescent="0.3">
      <c r="A479" t="s">
        <v>813</v>
      </c>
      <c r="B479" s="5">
        <v>45914</v>
      </c>
      <c r="C479" t="s">
        <v>37</v>
      </c>
      <c r="D479" t="s">
        <v>38</v>
      </c>
      <c r="E479" t="s">
        <v>52</v>
      </c>
      <c r="F479" t="s">
        <v>46</v>
      </c>
      <c r="G479" t="s">
        <v>87</v>
      </c>
      <c r="H479" t="s">
        <v>88</v>
      </c>
      <c r="I479">
        <v>39301</v>
      </c>
      <c r="J479">
        <v>4</v>
      </c>
      <c r="K479" t="s">
        <v>49</v>
      </c>
      <c r="L479">
        <v>10787.49</v>
      </c>
      <c r="M479" t="str">
        <f t="shared" si="14"/>
        <v>Sep</v>
      </c>
      <c r="N479">
        <f t="shared" si="15"/>
        <v>2025</v>
      </c>
    </row>
    <row r="480" spans="1:14" x14ac:dyDescent="0.3">
      <c r="A480" t="s">
        <v>814</v>
      </c>
      <c r="B480" s="5">
        <v>45885</v>
      </c>
      <c r="C480" t="s">
        <v>14</v>
      </c>
      <c r="D480" t="s">
        <v>38</v>
      </c>
      <c r="E480" t="s">
        <v>67</v>
      </c>
      <c r="F480" t="s">
        <v>17</v>
      </c>
      <c r="G480" t="s">
        <v>104</v>
      </c>
      <c r="H480" t="s">
        <v>105</v>
      </c>
      <c r="I480">
        <v>8061</v>
      </c>
      <c r="J480">
        <v>3</v>
      </c>
      <c r="K480" t="s">
        <v>20</v>
      </c>
      <c r="L480">
        <v>1896.22</v>
      </c>
      <c r="M480" t="str">
        <f t="shared" si="14"/>
        <v>Aug</v>
      </c>
      <c r="N480">
        <f t="shared" si="15"/>
        <v>2025</v>
      </c>
    </row>
    <row r="481" spans="1:14" x14ac:dyDescent="0.3">
      <c r="A481" t="s">
        <v>816</v>
      </c>
      <c r="B481" s="5">
        <v>45775</v>
      </c>
      <c r="C481" t="s">
        <v>72</v>
      </c>
      <c r="D481" t="s">
        <v>15</v>
      </c>
      <c r="E481" t="s">
        <v>154</v>
      </c>
      <c r="F481" t="s">
        <v>17</v>
      </c>
      <c r="G481" t="s">
        <v>76</v>
      </c>
      <c r="H481" t="s">
        <v>77</v>
      </c>
      <c r="I481">
        <v>30593</v>
      </c>
      <c r="J481">
        <v>2</v>
      </c>
      <c r="K481" t="s">
        <v>49</v>
      </c>
      <c r="L481">
        <v>3070.74</v>
      </c>
      <c r="M481" t="str">
        <f t="shared" si="14"/>
        <v>Apr</v>
      </c>
      <c r="N481">
        <f t="shared" si="15"/>
        <v>2025</v>
      </c>
    </row>
    <row r="482" spans="1:14" x14ac:dyDescent="0.3">
      <c r="A482" t="s">
        <v>818</v>
      </c>
      <c r="B482" s="5">
        <v>45661</v>
      </c>
      <c r="C482" t="s">
        <v>72</v>
      </c>
      <c r="D482" t="s">
        <v>23</v>
      </c>
      <c r="E482" t="s">
        <v>24</v>
      </c>
      <c r="F482" t="s">
        <v>46</v>
      </c>
      <c r="G482" t="s">
        <v>94</v>
      </c>
      <c r="H482" t="s">
        <v>95</v>
      </c>
      <c r="I482">
        <v>47524</v>
      </c>
      <c r="J482">
        <v>9</v>
      </c>
      <c r="K482" t="s">
        <v>53</v>
      </c>
      <c r="L482">
        <v>11829.89</v>
      </c>
      <c r="M482" t="str">
        <f t="shared" si="14"/>
        <v>Jan</v>
      </c>
      <c r="N482">
        <f t="shared" si="15"/>
        <v>2025</v>
      </c>
    </row>
    <row r="483" spans="1:14" x14ac:dyDescent="0.3">
      <c r="A483" t="s">
        <v>819</v>
      </c>
      <c r="B483" s="5">
        <v>45791</v>
      </c>
      <c r="C483" t="s">
        <v>66</v>
      </c>
      <c r="D483" t="s">
        <v>38</v>
      </c>
      <c r="E483" t="s">
        <v>52</v>
      </c>
      <c r="F483" t="s">
        <v>46</v>
      </c>
      <c r="G483" t="s">
        <v>94</v>
      </c>
      <c r="H483" t="s">
        <v>95</v>
      </c>
      <c r="I483">
        <v>36055</v>
      </c>
      <c r="J483">
        <v>4</v>
      </c>
      <c r="K483" t="s">
        <v>53</v>
      </c>
      <c r="L483">
        <v>7295.79</v>
      </c>
      <c r="M483" t="str">
        <f t="shared" si="14"/>
        <v>May</v>
      </c>
      <c r="N483">
        <f t="shared" si="15"/>
        <v>2025</v>
      </c>
    </row>
    <row r="484" spans="1:14" x14ac:dyDescent="0.3">
      <c r="A484" t="s">
        <v>820</v>
      </c>
      <c r="B484" s="5">
        <v>45757</v>
      </c>
      <c r="C484" t="s">
        <v>44</v>
      </c>
      <c r="D484" t="s">
        <v>23</v>
      </c>
      <c r="E484" t="s">
        <v>82</v>
      </c>
      <c r="F484" t="s">
        <v>25</v>
      </c>
      <c r="G484" t="s">
        <v>26</v>
      </c>
      <c r="H484" t="s">
        <v>27</v>
      </c>
      <c r="I484">
        <v>69401</v>
      </c>
      <c r="J484">
        <v>6</v>
      </c>
      <c r="K484" t="s">
        <v>49</v>
      </c>
      <c r="L484">
        <v>13595.2</v>
      </c>
      <c r="M484" t="str">
        <f t="shared" si="14"/>
        <v>Apr</v>
      </c>
      <c r="N484">
        <f t="shared" si="15"/>
        <v>2025</v>
      </c>
    </row>
    <row r="485" spans="1:14" x14ac:dyDescent="0.3">
      <c r="A485" t="s">
        <v>821</v>
      </c>
      <c r="B485" s="5">
        <v>45898</v>
      </c>
      <c r="C485" t="s">
        <v>31</v>
      </c>
      <c r="D485" t="s">
        <v>23</v>
      </c>
      <c r="E485" t="s">
        <v>82</v>
      </c>
      <c r="F485" t="s">
        <v>17</v>
      </c>
      <c r="G485" t="s">
        <v>18</v>
      </c>
      <c r="H485" t="s">
        <v>19</v>
      </c>
      <c r="I485">
        <v>21083</v>
      </c>
      <c r="J485">
        <v>1</v>
      </c>
      <c r="K485" t="s">
        <v>53</v>
      </c>
      <c r="L485">
        <v>3325.05</v>
      </c>
      <c r="M485" t="str">
        <f t="shared" si="14"/>
        <v>Aug</v>
      </c>
      <c r="N485">
        <f t="shared" si="15"/>
        <v>2025</v>
      </c>
    </row>
    <row r="486" spans="1:14" x14ac:dyDescent="0.3">
      <c r="A486" t="s">
        <v>822</v>
      </c>
      <c r="B486" s="5">
        <v>46002</v>
      </c>
      <c r="C486" t="s">
        <v>31</v>
      </c>
      <c r="D486" t="s">
        <v>32</v>
      </c>
      <c r="E486" t="s">
        <v>45</v>
      </c>
      <c r="F486" t="s">
        <v>25</v>
      </c>
      <c r="G486" t="s">
        <v>57</v>
      </c>
      <c r="H486" t="s">
        <v>58</v>
      </c>
      <c r="I486">
        <v>78737</v>
      </c>
      <c r="J486">
        <v>7</v>
      </c>
      <c r="K486" t="s">
        <v>49</v>
      </c>
      <c r="L486">
        <v>15840.79</v>
      </c>
      <c r="M486" t="str">
        <f t="shared" si="14"/>
        <v>Dec</v>
      </c>
      <c r="N486">
        <f t="shared" si="15"/>
        <v>2025</v>
      </c>
    </row>
    <row r="487" spans="1:14" x14ac:dyDescent="0.3">
      <c r="A487" t="s">
        <v>823</v>
      </c>
      <c r="B487" s="5">
        <v>45995</v>
      </c>
      <c r="C487" t="s">
        <v>72</v>
      </c>
      <c r="D487" t="s">
        <v>23</v>
      </c>
      <c r="E487" t="s">
        <v>24</v>
      </c>
      <c r="F487" t="s">
        <v>46</v>
      </c>
      <c r="G487" t="s">
        <v>94</v>
      </c>
      <c r="H487" t="s">
        <v>95</v>
      </c>
      <c r="I487">
        <v>61094</v>
      </c>
      <c r="J487">
        <v>3</v>
      </c>
      <c r="K487" t="s">
        <v>49</v>
      </c>
      <c r="L487">
        <v>13711.62</v>
      </c>
      <c r="M487" t="str">
        <f t="shared" si="14"/>
        <v>Dec</v>
      </c>
      <c r="N487">
        <f t="shared" si="15"/>
        <v>2025</v>
      </c>
    </row>
    <row r="488" spans="1:14" x14ac:dyDescent="0.3">
      <c r="A488" t="s">
        <v>825</v>
      </c>
      <c r="B488" s="5">
        <v>45973</v>
      </c>
      <c r="C488" t="s">
        <v>56</v>
      </c>
      <c r="D488" t="s">
        <v>15</v>
      </c>
      <c r="E488" t="s">
        <v>154</v>
      </c>
      <c r="F488" t="s">
        <v>46</v>
      </c>
      <c r="G488" t="s">
        <v>94</v>
      </c>
      <c r="H488" t="s">
        <v>95</v>
      </c>
      <c r="I488">
        <v>75311</v>
      </c>
      <c r="J488">
        <v>4</v>
      </c>
      <c r="K488" t="s">
        <v>28</v>
      </c>
      <c r="L488">
        <v>5596.17</v>
      </c>
      <c r="M488" t="str">
        <f t="shared" si="14"/>
        <v>Nov</v>
      </c>
      <c r="N488">
        <f t="shared" si="15"/>
        <v>2025</v>
      </c>
    </row>
    <row r="489" spans="1:14" x14ac:dyDescent="0.3">
      <c r="A489" t="s">
        <v>826</v>
      </c>
      <c r="B489" s="5">
        <v>45707</v>
      </c>
      <c r="C489" t="s">
        <v>14</v>
      </c>
      <c r="D489" t="s">
        <v>15</v>
      </c>
      <c r="E489" t="s">
        <v>73</v>
      </c>
      <c r="F489" t="s">
        <v>46</v>
      </c>
      <c r="G489" t="s">
        <v>87</v>
      </c>
      <c r="H489" t="s">
        <v>88</v>
      </c>
      <c r="I489">
        <v>75776</v>
      </c>
      <c r="J489">
        <v>5</v>
      </c>
      <c r="K489" t="s">
        <v>34</v>
      </c>
      <c r="L489">
        <v>10785.11</v>
      </c>
      <c r="M489" t="str">
        <f t="shared" si="14"/>
        <v>Feb</v>
      </c>
      <c r="N489">
        <f t="shared" si="15"/>
        <v>2025</v>
      </c>
    </row>
    <row r="490" spans="1:14" x14ac:dyDescent="0.3">
      <c r="A490" t="s">
        <v>827</v>
      </c>
      <c r="B490" s="5">
        <v>45897</v>
      </c>
      <c r="C490" t="s">
        <v>63</v>
      </c>
      <c r="D490" t="s">
        <v>38</v>
      </c>
      <c r="E490" t="s">
        <v>67</v>
      </c>
      <c r="F490" t="s">
        <v>17</v>
      </c>
      <c r="G490" t="s">
        <v>18</v>
      </c>
      <c r="H490" t="s">
        <v>19</v>
      </c>
      <c r="I490">
        <v>28692</v>
      </c>
      <c r="J490">
        <v>5</v>
      </c>
      <c r="K490" t="s">
        <v>49</v>
      </c>
      <c r="L490">
        <v>2475.5300000000002</v>
      </c>
      <c r="M490" t="str">
        <f t="shared" si="14"/>
        <v>Aug</v>
      </c>
      <c r="N490">
        <f t="shared" si="15"/>
        <v>2025</v>
      </c>
    </row>
    <row r="491" spans="1:14" x14ac:dyDescent="0.3">
      <c r="A491" t="s">
        <v>829</v>
      </c>
      <c r="B491" s="5">
        <v>45783</v>
      </c>
      <c r="C491" t="s">
        <v>31</v>
      </c>
      <c r="D491" t="s">
        <v>15</v>
      </c>
      <c r="E491" t="s">
        <v>16</v>
      </c>
      <c r="F491" t="s">
        <v>25</v>
      </c>
      <c r="G491" t="s">
        <v>40</v>
      </c>
      <c r="H491" t="s">
        <v>41</v>
      </c>
      <c r="I491">
        <v>7417</v>
      </c>
      <c r="J491">
        <v>4</v>
      </c>
      <c r="K491" t="s">
        <v>20</v>
      </c>
      <c r="L491">
        <v>1241.1500000000001</v>
      </c>
      <c r="M491" t="str">
        <f t="shared" si="14"/>
        <v>May</v>
      </c>
      <c r="N491">
        <f t="shared" si="15"/>
        <v>2025</v>
      </c>
    </row>
    <row r="492" spans="1:14" x14ac:dyDescent="0.3">
      <c r="A492" t="s">
        <v>830</v>
      </c>
      <c r="B492" s="5">
        <v>45736</v>
      </c>
      <c r="C492" t="s">
        <v>91</v>
      </c>
      <c r="D492" t="s">
        <v>32</v>
      </c>
      <c r="E492" t="s">
        <v>33</v>
      </c>
      <c r="F492" t="s">
        <v>25</v>
      </c>
      <c r="G492" t="s">
        <v>57</v>
      </c>
      <c r="H492" t="s">
        <v>58</v>
      </c>
      <c r="I492">
        <v>77728</v>
      </c>
      <c r="J492">
        <v>7</v>
      </c>
      <c r="K492" t="s">
        <v>49</v>
      </c>
      <c r="L492">
        <v>8675.18</v>
      </c>
      <c r="M492" t="str">
        <f t="shared" si="14"/>
        <v>Mar</v>
      </c>
      <c r="N492">
        <f t="shared" si="15"/>
        <v>2025</v>
      </c>
    </row>
    <row r="493" spans="1:14" x14ac:dyDescent="0.3">
      <c r="A493" t="s">
        <v>832</v>
      </c>
      <c r="B493" s="5">
        <v>45710</v>
      </c>
      <c r="C493" t="s">
        <v>91</v>
      </c>
      <c r="D493" t="s">
        <v>15</v>
      </c>
      <c r="E493" t="s">
        <v>73</v>
      </c>
      <c r="F493" t="s">
        <v>17</v>
      </c>
      <c r="G493" t="s">
        <v>76</v>
      </c>
      <c r="H493" t="s">
        <v>77</v>
      </c>
      <c r="I493">
        <v>38390</v>
      </c>
      <c r="J493">
        <v>1</v>
      </c>
      <c r="K493" t="s">
        <v>49</v>
      </c>
      <c r="L493">
        <v>6061.36</v>
      </c>
      <c r="M493" t="str">
        <f t="shared" si="14"/>
        <v>Feb</v>
      </c>
      <c r="N493">
        <f t="shared" si="15"/>
        <v>2025</v>
      </c>
    </row>
    <row r="494" spans="1:14" x14ac:dyDescent="0.3">
      <c r="A494" t="s">
        <v>833</v>
      </c>
      <c r="B494" s="5">
        <v>45694</v>
      </c>
      <c r="C494" t="s">
        <v>56</v>
      </c>
      <c r="D494" t="s">
        <v>23</v>
      </c>
      <c r="E494" t="s">
        <v>129</v>
      </c>
      <c r="F494" t="s">
        <v>25</v>
      </c>
      <c r="G494" t="s">
        <v>57</v>
      </c>
      <c r="H494" t="s">
        <v>58</v>
      </c>
      <c r="I494">
        <v>62958</v>
      </c>
      <c r="J494">
        <v>5</v>
      </c>
      <c r="K494" t="s">
        <v>34</v>
      </c>
      <c r="L494">
        <v>15239.82</v>
      </c>
      <c r="M494" t="str">
        <f t="shared" si="14"/>
        <v>Feb</v>
      </c>
      <c r="N494">
        <f t="shared" si="15"/>
        <v>2025</v>
      </c>
    </row>
    <row r="495" spans="1:14" x14ac:dyDescent="0.3">
      <c r="A495" t="s">
        <v>834</v>
      </c>
      <c r="B495" s="5">
        <v>45820</v>
      </c>
      <c r="C495" t="s">
        <v>31</v>
      </c>
      <c r="D495" t="s">
        <v>23</v>
      </c>
      <c r="E495" t="s">
        <v>129</v>
      </c>
      <c r="F495" t="s">
        <v>25</v>
      </c>
      <c r="G495" t="s">
        <v>26</v>
      </c>
      <c r="H495" t="s">
        <v>27</v>
      </c>
      <c r="I495">
        <v>20508</v>
      </c>
      <c r="J495">
        <v>4</v>
      </c>
      <c r="K495" t="s">
        <v>49</v>
      </c>
      <c r="L495">
        <v>3398.08</v>
      </c>
      <c r="M495" t="str">
        <f t="shared" si="14"/>
        <v>Jun</v>
      </c>
      <c r="N495">
        <f t="shared" si="15"/>
        <v>2025</v>
      </c>
    </row>
    <row r="496" spans="1:14" x14ac:dyDescent="0.3">
      <c r="A496" t="s">
        <v>836</v>
      </c>
      <c r="B496" s="5">
        <v>45933</v>
      </c>
      <c r="C496" t="s">
        <v>63</v>
      </c>
      <c r="D496" t="s">
        <v>38</v>
      </c>
      <c r="E496" t="s">
        <v>52</v>
      </c>
      <c r="F496" t="s">
        <v>25</v>
      </c>
      <c r="G496" t="s">
        <v>40</v>
      </c>
      <c r="H496" t="s">
        <v>41</v>
      </c>
      <c r="I496">
        <v>56231</v>
      </c>
      <c r="J496">
        <v>9</v>
      </c>
      <c r="K496" t="s">
        <v>34</v>
      </c>
      <c r="L496">
        <v>12488.82</v>
      </c>
      <c r="M496" t="str">
        <f t="shared" si="14"/>
        <v>Oct</v>
      </c>
      <c r="N496">
        <f t="shared" si="15"/>
        <v>2025</v>
      </c>
    </row>
    <row r="497" spans="1:14" x14ac:dyDescent="0.3">
      <c r="A497" t="s">
        <v>837</v>
      </c>
      <c r="B497" s="5">
        <v>45977</v>
      </c>
      <c r="C497" t="s">
        <v>31</v>
      </c>
      <c r="D497" t="s">
        <v>15</v>
      </c>
      <c r="E497" t="s">
        <v>73</v>
      </c>
      <c r="F497" t="s">
        <v>17</v>
      </c>
      <c r="G497" t="s">
        <v>18</v>
      </c>
      <c r="H497" t="s">
        <v>19</v>
      </c>
      <c r="I497">
        <v>78300</v>
      </c>
      <c r="J497">
        <v>4</v>
      </c>
      <c r="K497" t="s">
        <v>28</v>
      </c>
      <c r="L497">
        <v>17824.96</v>
      </c>
      <c r="M497" t="str">
        <f t="shared" si="14"/>
        <v>Nov</v>
      </c>
      <c r="N497">
        <f t="shared" si="15"/>
        <v>2025</v>
      </c>
    </row>
    <row r="498" spans="1:14" x14ac:dyDescent="0.3">
      <c r="A498" t="s">
        <v>838</v>
      </c>
      <c r="B498" s="5">
        <v>45873</v>
      </c>
      <c r="C498" t="s">
        <v>66</v>
      </c>
      <c r="D498" t="s">
        <v>15</v>
      </c>
      <c r="E498" t="s">
        <v>16</v>
      </c>
      <c r="F498" t="s">
        <v>46</v>
      </c>
      <c r="G498" t="s">
        <v>94</v>
      </c>
      <c r="H498" t="s">
        <v>95</v>
      </c>
      <c r="I498">
        <v>62658</v>
      </c>
      <c r="J498">
        <v>8</v>
      </c>
      <c r="K498" t="s">
        <v>49</v>
      </c>
      <c r="L498">
        <v>7186.98</v>
      </c>
      <c r="M498" t="str">
        <f t="shared" si="14"/>
        <v>Aug</v>
      </c>
      <c r="N498">
        <f t="shared" si="15"/>
        <v>2025</v>
      </c>
    </row>
    <row r="499" spans="1:14" x14ac:dyDescent="0.3">
      <c r="A499" t="s">
        <v>839</v>
      </c>
      <c r="B499" s="5">
        <v>45981</v>
      </c>
      <c r="C499" t="s">
        <v>66</v>
      </c>
      <c r="D499" t="s">
        <v>38</v>
      </c>
      <c r="E499" t="s">
        <v>52</v>
      </c>
      <c r="F499" t="s">
        <v>25</v>
      </c>
      <c r="G499" t="s">
        <v>57</v>
      </c>
      <c r="H499" t="s">
        <v>58</v>
      </c>
      <c r="I499">
        <v>35143</v>
      </c>
      <c r="J499">
        <v>5</v>
      </c>
      <c r="K499" t="s">
        <v>49</v>
      </c>
      <c r="L499">
        <v>4568.49</v>
      </c>
      <c r="M499" t="str">
        <f t="shared" si="14"/>
        <v>Nov</v>
      </c>
      <c r="N499">
        <f t="shared" si="15"/>
        <v>2025</v>
      </c>
    </row>
    <row r="500" spans="1:14" x14ac:dyDescent="0.3">
      <c r="A500" t="s">
        <v>840</v>
      </c>
      <c r="B500" s="5">
        <v>45884</v>
      </c>
      <c r="C500" t="s">
        <v>56</v>
      </c>
      <c r="D500" t="s">
        <v>15</v>
      </c>
      <c r="E500" t="s">
        <v>73</v>
      </c>
      <c r="F500" t="s">
        <v>46</v>
      </c>
      <c r="G500" t="s">
        <v>94</v>
      </c>
      <c r="H500" t="s">
        <v>95</v>
      </c>
      <c r="I500">
        <v>59045</v>
      </c>
      <c r="J500">
        <v>7</v>
      </c>
      <c r="K500" t="s">
        <v>53</v>
      </c>
      <c r="L500">
        <v>7771.73</v>
      </c>
      <c r="M500" t="str">
        <f t="shared" si="14"/>
        <v>Aug</v>
      </c>
      <c r="N500">
        <f t="shared" si="15"/>
        <v>2025</v>
      </c>
    </row>
    <row r="501" spans="1:14" x14ac:dyDescent="0.3">
      <c r="A501" t="s">
        <v>841</v>
      </c>
      <c r="B501" s="5">
        <v>45788</v>
      </c>
      <c r="C501" t="s">
        <v>14</v>
      </c>
      <c r="D501" t="s">
        <v>32</v>
      </c>
      <c r="E501" t="s">
        <v>116</v>
      </c>
      <c r="F501" t="s">
        <v>17</v>
      </c>
      <c r="G501" t="s">
        <v>104</v>
      </c>
      <c r="H501" t="s">
        <v>105</v>
      </c>
      <c r="I501">
        <v>23405</v>
      </c>
      <c r="J501">
        <v>9</v>
      </c>
      <c r="K501" t="s">
        <v>53</v>
      </c>
      <c r="L501">
        <v>3120.77</v>
      </c>
      <c r="M501" t="str">
        <f t="shared" si="14"/>
        <v>May</v>
      </c>
      <c r="N501">
        <f t="shared" si="15"/>
        <v>2025</v>
      </c>
    </row>
    <row r="502" spans="1:14" x14ac:dyDescent="0.3">
      <c r="A502" t="s">
        <v>842</v>
      </c>
      <c r="B502" s="5">
        <v>45691</v>
      </c>
      <c r="C502" t="s">
        <v>66</v>
      </c>
      <c r="D502" t="s">
        <v>23</v>
      </c>
      <c r="E502" t="s">
        <v>24</v>
      </c>
      <c r="F502" t="s">
        <v>25</v>
      </c>
      <c r="G502" t="s">
        <v>26</v>
      </c>
      <c r="H502" t="s">
        <v>27</v>
      </c>
      <c r="I502">
        <v>59700</v>
      </c>
      <c r="J502">
        <v>6</v>
      </c>
      <c r="K502" t="s">
        <v>49</v>
      </c>
      <c r="L502">
        <v>11558.52</v>
      </c>
      <c r="M502" t="str">
        <f t="shared" si="14"/>
        <v>Feb</v>
      </c>
      <c r="N502">
        <f t="shared" si="15"/>
        <v>2025</v>
      </c>
    </row>
    <row r="503" spans="1:14" x14ac:dyDescent="0.3">
      <c r="A503" t="s">
        <v>843</v>
      </c>
      <c r="B503" s="5">
        <v>45757</v>
      </c>
      <c r="C503" t="s">
        <v>31</v>
      </c>
      <c r="D503" t="s">
        <v>15</v>
      </c>
      <c r="E503" t="s">
        <v>154</v>
      </c>
      <c r="F503" t="s">
        <v>25</v>
      </c>
      <c r="G503" t="s">
        <v>40</v>
      </c>
      <c r="H503" t="s">
        <v>41</v>
      </c>
      <c r="I503">
        <v>76658</v>
      </c>
      <c r="J503">
        <v>5</v>
      </c>
      <c r="K503" t="s">
        <v>53</v>
      </c>
      <c r="L503">
        <v>13853.8</v>
      </c>
      <c r="M503" t="str">
        <f t="shared" si="14"/>
        <v>Apr</v>
      </c>
      <c r="N503">
        <f t="shared" si="15"/>
        <v>2025</v>
      </c>
    </row>
    <row r="504" spans="1:14" x14ac:dyDescent="0.3">
      <c r="A504" t="s">
        <v>844</v>
      </c>
      <c r="B504" s="5">
        <v>45723</v>
      </c>
      <c r="C504" t="s">
        <v>63</v>
      </c>
      <c r="D504" t="s">
        <v>15</v>
      </c>
      <c r="E504" t="s">
        <v>154</v>
      </c>
      <c r="F504" t="s">
        <v>17</v>
      </c>
      <c r="G504" t="s">
        <v>104</v>
      </c>
      <c r="H504" t="s">
        <v>105</v>
      </c>
      <c r="I504">
        <v>18011</v>
      </c>
      <c r="J504">
        <v>2</v>
      </c>
      <c r="K504" t="s">
        <v>28</v>
      </c>
      <c r="L504">
        <v>1282</v>
      </c>
      <c r="M504" t="str">
        <f t="shared" si="14"/>
        <v>Mar</v>
      </c>
      <c r="N504">
        <f t="shared" si="15"/>
        <v>2025</v>
      </c>
    </row>
    <row r="505" spans="1:14" x14ac:dyDescent="0.3">
      <c r="A505" t="s">
        <v>845</v>
      </c>
      <c r="B505" s="5">
        <v>46017</v>
      </c>
      <c r="C505" t="s">
        <v>56</v>
      </c>
      <c r="D505" t="s">
        <v>38</v>
      </c>
      <c r="E505" t="s">
        <v>67</v>
      </c>
      <c r="F505" t="s">
        <v>17</v>
      </c>
      <c r="G505" t="s">
        <v>104</v>
      </c>
      <c r="H505" t="s">
        <v>105</v>
      </c>
      <c r="I505">
        <v>58728</v>
      </c>
      <c r="J505">
        <v>1</v>
      </c>
      <c r="K505" t="s">
        <v>20</v>
      </c>
      <c r="L505">
        <v>8910.57</v>
      </c>
      <c r="M505" t="str">
        <f t="shared" si="14"/>
        <v>Dec</v>
      </c>
      <c r="N505">
        <f t="shared" si="15"/>
        <v>2025</v>
      </c>
    </row>
    <row r="506" spans="1:14" x14ac:dyDescent="0.3">
      <c r="A506" t="s">
        <v>846</v>
      </c>
      <c r="B506" s="5">
        <v>45764</v>
      </c>
      <c r="C506" t="s">
        <v>72</v>
      </c>
      <c r="D506" t="s">
        <v>15</v>
      </c>
      <c r="E506" t="s">
        <v>16</v>
      </c>
      <c r="F506" t="s">
        <v>25</v>
      </c>
      <c r="G506" t="s">
        <v>57</v>
      </c>
      <c r="H506" t="s">
        <v>58</v>
      </c>
      <c r="I506">
        <v>68274</v>
      </c>
      <c r="J506">
        <v>9</v>
      </c>
      <c r="K506" t="s">
        <v>34</v>
      </c>
      <c r="L506">
        <v>15552.39</v>
      </c>
      <c r="M506" t="str">
        <f t="shared" si="14"/>
        <v>Apr</v>
      </c>
      <c r="N506">
        <f t="shared" si="15"/>
        <v>2025</v>
      </c>
    </row>
    <row r="507" spans="1:14" x14ac:dyDescent="0.3">
      <c r="A507" t="s">
        <v>848</v>
      </c>
      <c r="B507" s="5">
        <v>45939</v>
      </c>
      <c r="C507" t="s">
        <v>72</v>
      </c>
      <c r="D507" t="s">
        <v>32</v>
      </c>
      <c r="E507" t="s">
        <v>116</v>
      </c>
      <c r="F507" t="s">
        <v>46</v>
      </c>
      <c r="G507" t="s">
        <v>87</v>
      </c>
      <c r="H507" t="s">
        <v>88</v>
      </c>
      <c r="I507">
        <v>77386</v>
      </c>
      <c r="J507">
        <v>1</v>
      </c>
      <c r="K507" t="s">
        <v>34</v>
      </c>
      <c r="L507">
        <v>8808.32</v>
      </c>
      <c r="M507" t="str">
        <f t="shared" si="14"/>
        <v>Oct</v>
      </c>
      <c r="N507">
        <f t="shared" si="15"/>
        <v>2025</v>
      </c>
    </row>
    <row r="508" spans="1:14" x14ac:dyDescent="0.3">
      <c r="A508" t="s">
        <v>849</v>
      </c>
      <c r="B508" s="5">
        <v>45736</v>
      </c>
      <c r="C508" t="s">
        <v>37</v>
      </c>
      <c r="D508" t="s">
        <v>15</v>
      </c>
      <c r="E508" t="s">
        <v>73</v>
      </c>
      <c r="F508" t="s">
        <v>46</v>
      </c>
      <c r="G508" t="s">
        <v>94</v>
      </c>
      <c r="H508" t="s">
        <v>95</v>
      </c>
      <c r="I508">
        <v>9437</v>
      </c>
      <c r="J508">
        <v>9</v>
      </c>
      <c r="K508" t="s">
        <v>20</v>
      </c>
      <c r="L508">
        <v>2392.6799999999998</v>
      </c>
      <c r="M508" t="str">
        <f t="shared" si="14"/>
        <v>Mar</v>
      </c>
      <c r="N508">
        <f t="shared" si="15"/>
        <v>2025</v>
      </c>
    </row>
    <row r="509" spans="1:14" x14ac:dyDescent="0.3">
      <c r="A509" t="s">
        <v>850</v>
      </c>
      <c r="B509" s="5">
        <v>45982</v>
      </c>
      <c r="C509" t="s">
        <v>66</v>
      </c>
      <c r="D509" t="s">
        <v>32</v>
      </c>
      <c r="E509" t="s">
        <v>45</v>
      </c>
      <c r="F509" t="s">
        <v>17</v>
      </c>
      <c r="G509" t="s">
        <v>104</v>
      </c>
      <c r="H509" t="s">
        <v>105</v>
      </c>
      <c r="I509">
        <v>23188</v>
      </c>
      <c r="J509">
        <v>2</v>
      </c>
      <c r="K509" t="s">
        <v>53</v>
      </c>
      <c r="L509">
        <v>2222.0300000000002</v>
      </c>
      <c r="M509" t="str">
        <f t="shared" si="14"/>
        <v>Nov</v>
      </c>
      <c r="N509">
        <f t="shared" si="15"/>
        <v>2025</v>
      </c>
    </row>
    <row r="510" spans="1:14" x14ac:dyDescent="0.3">
      <c r="A510" t="s">
        <v>851</v>
      </c>
      <c r="B510" s="5">
        <v>45922</v>
      </c>
      <c r="C510" t="s">
        <v>66</v>
      </c>
      <c r="D510" t="s">
        <v>15</v>
      </c>
      <c r="E510" t="s">
        <v>16</v>
      </c>
      <c r="F510" t="s">
        <v>46</v>
      </c>
      <c r="G510" t="s">
        <v>47</v>
      </c>
      <c r="H510" t="s">
        <v>48</v>
      </c>
      <c r="I510">
        <v>9564</v>
      </c>
      <c r="J510">
        <v>9</v>
      </c>
      <c r="K510" t="s">
        <v>53</v>
      </c>
      <c r="L510">
        <v>2335.0700000000002</v>
      </c>
      <c r="M510" t="str">
        <f t="shared" si="14"/>
        <v>Sep</v>
      </c>
      <c r="N510">
        <f t="shared" si="15"/>
        <v>2025</v>
      </c>
    </row>
    <row r="511" spans="1:14" x14ac:dyDescent="0.3">
      <c r="A511" t="s">
        <v>852</v>
      </c>
      <c r="B511" s="5">
        <v>45998</v>
      </c>
      <c r="C511" t="s">
        <v>37</v>
      </c>
      <c r="D511" t="s">
        <v>32</v>
      </c>
      <c r="E511" t="s">
        <v>33</v>
      </c>
      <c r="F511" t="s">
        <v>17</v>
      </c>
      <c r="G511" t="s">
        <v>104</v>
      </c>
      <c r="H511" t="s">
        <v>105</v>
      </c>
      <c r="I511">
        <v>52161</v>
      </c>
      <c r="J511">
        <v>10</v>
      </c>
      <c r="K511" t="s">
        <v>20</v>
      </c>
      <c r="L511">
        <v>7952.53</v>
      </c>
      <c r="M511" t="str">
        <f t="shared" si="14"/>
        <v>Dec</v>
      </c>
      <c r="N511">
        <f t="shared" si="15"/>
        <v>2025</v>
      </c>
    </row>
    <row r="512" spans="1:14" x14ac:dyDescent="0.3">
      <c r="A512" t="s">
        <v>853</v>
      </c>
      <c r="B512" s="5">
        <v>45810</v>
      </c>
      <c r="C512" t="s">
        <v>91</v>
      </c>
      <c r="D512" t="s">
        <v>38</v>
      </c>
      <c r="E512" t="s">
        <v>67</v>
      </c>
      <c r="F512" t="s">
        <v>17</v>
      </c>
      <c r="G512" t="s">
        <v>76</v>
      </c>
      <c r="H512" t="s">
        <v>77</v>
      </c>
      <c r="I512">
        <v>66811</v>
      </c>
      <c r="J512">
        <v>8</v>
      </c>
      <c r="K512" t="s">
        <v>53</v>
      </c>
      <c r="L512">
        <v>6716.73</v>
      </c>
      <c r="M512" t="str">
        <f t="shared" si="14"/>
        <v>Jun</v>
      </c>
      <c r="N512">
        <f t="shared" si="15"/>
        <v>2025</v>
      </c>
    </row>
    <row r="513" spans="1:14" x14ac:dyDescent="0.3">
      <c r="A513" t="s">
        <v>855</v>
      </c>
      <c r="B513" s="5">
        <v>45733</v>
      </c>
      <c r="C513" t="s">
        <v>14</v>
      </c>
      <c r="D513" t="s">
        <v>32</v>
      </c>
      <c r="E513" t="s">
        <v>33</v>
      </c>
      <c r="F513" t="s">
        <v>46</v>
      </c>
      <c r="G513" t="s">
        <v>47</v>
      </c>
      <c r="H513" t="s">
        <v>48</v>
      </c>
      <c r="I513">
        <v>5621</v>
      </c>
      <c r="J513">
        <v>6</v>
      </c>
      <c r="K513" t="s">
        <v>28</v>
      </c>
      <c r="L513">
        <v>545.17999999999995</v>
      </c>
      <c r="M513" t="str">
        <f t="shared" si="14"/>
        <v>Mar</v>
      </c>
      <c r="N513">
        <f t="shared" si="15"/>
        <v>2025</v>
      </c>
    </row>
    <row r="514" spans="1:14" x14ac:dyDescent="0.3">
      <c r="A514" t="s">
        <v>856</v>
      </c>
      <c r="B514" s="5">
        <v>45984</v>
      </c>
      <c r="C514" t="s">
        <v>121</v>
      </c>
      <c r="D514" t="s">
        <v>15</v>
      </c>
      <c r="E514" t="s">
        <v>154</v>
      </c>
      <c r="F514" t="s">
        <v>17</v>
      </c>
      <c r="G514" t="s">
        <v>76</v>
      </c>
      <c r="H514" t="s">
        <v>77</v>
      </c>
      <c r="I514">
        <v>26810</v>
      </c>
      <c r="J514">
        <v>1</v>
      </c>
      <c r="K514" t="s">
        <v>28</v>
      </c>
      <c r="L514">
        <v>3631.34</v>
      </c>
      <c r="M514" t="str">
        <f t="shared" si="14"/>
        <v>Nov</v>
      </c>
      <c r="N514">
        <f t="shared" si="15"/>
        <v>2025</v>
      </c>
    </row>
    <row r="515" spans="1:14" x14ac:dyDescent="0.3">
      <c r="A515" t="s">
        <v>857</v>
      </c>
      <c r="B515" s="5">
        <v>45926</v>
      </c>
      <c r="C515" t="s">
        <v>37</v>
      </c>
      <c r="D515" t="s">
        <v>32</v>
      </c>
      <c r="E515" t="s">
        <v>33</v>
      </c>
      <c r="F515" t="s">
        <v>17</v>
      </c>
      <c r="G515" t="s">
        <v>104</v>
      </c>
      <c r="H515" t="s">
        <v>105</v>
      </c>
      <c r="I515">
        <v>41363</v>
      </c>
      <c r="J515">
        <v>7</v>
      </c>
      <c r="K515" t="s">
        <v>20</v>
      </c>
      <c r="L515">
        <v>5605.12</v>
      </c>
      <c r="M515" t="str">
        <f t="shared" ref="M515:M578" si="16">TEXT(B515,"mmm")</f>
        <v>Sep</v>
      </c>
      <c r="N515">
        <f t="shared" ref="N515:N578" si="17">YEAR(B515)</f>
        <v>2025</v>
      </c>
    </row>
    <row r="516" spans="1:14" x14ac:dyDescent="0.3">
      <c r="A516" t="s">
        <v>858</v>
      </c>
      <c r="B516" s="5">
        <v>45698</v>
      </c>
      <c r="C516" t="s">
        <v>72</v>
      </c>
      <c r="D516" t="s">
        <v>38</v>
      </c>
      <c r="E516" t="s">
        <v>52</v>
      </c>
      <c r="F516" t="s">
        <v>25</v>
      </c>
      <c r="G516" t="s">
        <v>26</v>
      </c>
      <c r="H516" t="s">
        <v>27</v>
      </c>
      <c r="I516">
        <v>32313</v>
      </c>
      <c r="J516">
        <v>5</v>
      </c>
      <c r="K516" t="s">
        <v>34</v>
      </c>
      <c r="L516">
        <v>5659.93</v>
      </c>
      <c r="M516" t="str">
        <f t="shared" si="16"/>
        <v>Feb</v>
      </c>
      <c r="N516">
        <f t="shared" si="17"/>
        <v>2025</v>
      </c>
    </row>
    <row r="517" spans="1:14" x14ac:dyDescent="0.3">
      <c r="A517" t="s">
        <v>859</v>
      </c>
      <c r="B517" s="5">
        <v>45801</v>
      </c>
      <c r="C517" t="s">
        <v>31</v>
      </c>
      <c r="D517" t="s">
        <v>15</v>
      </c>
      <c r="E517" t="s">
        <v>154</v>
      </c>
      <c r="F517" t="s">
        <v>17</v>
      </c>
      <c r="G517" t="s">
        <v>104</v>
      </c>
      <c r="H517" t="s">
        <v>105</v>
      </c>
      <c r="I517">
        <v>34207</v>
      </c>
      <c r="J517">
        <v>5</v>
      </c>
      <c r="K517" t="s">
        <v>53</v>
      </c>
      <c r="L517">
        <v>7308.82</v>
      </c>
      <c r="M517" t="str">
        <f t="shared" si="16"/>
        <v>May</v>
      </c>
      <c r="N517">
        <f t="shared" si="17"/>
        <v>2025</v>
      </c>
    </row>
    <row r="518" spans="1:14" x14ac:dyDescent="0.3">
      <c r="A518" t="s">
        <v>860</v>
      </c>
      <c r="B518" s="5">
        <v>45742</v>
      </c>
      <c r="C518" t="s">
        <v>31</v>
      </c>
      <c r="D518" t="s">
        <v>38</v>
      </c>
      <c r="E518" t="s">
        <v>67</v>
      </c>
      <c r="F518" t="s">
        <v>17</v>
      </c>
      <c r="G518" t="s">
        <v>104</v>
      </c>
      <c r="H518" t="s">
        <v>105</v>
      </c>
      <c r="I518">
        <v>18973</v>
      </c>
      <c r="J518">
        <v>4</v>
      </c>
      <c r="K518" t="s">
        <v>28</v>
      </c>
      <c r="L518">
        <v>3879.37</v>
      </c>
      <c r="M518" t="str">
        <f t="shared" si="16"/>
        <v>Mar</v>
      </c>
      <c r="N518">
        <f t="shared" si="17"/>
        <v>2025</v>
      </c>
    </row>
    <row r="519" spans="1:14" x14ac:dyDescent="0.3">
      <c r="A519" t="s">
        <v>861</v>
      </c>
      <c r="B519" s="5">
        <v>45718</v>
      </c>
      <c r="C519" t="s">
        <v>56</v>
      </c>
      <c r="D519" t="s">
        <v>15</v>
      </c>
      <c r="E519" t="s">
        <v>16</v>
      </c>
      <c r="F519" t="s">
        <v>46</v>
      </c>
      <c r="G519" t="s">
        <v>94</v>
      </c>
      <c r="H519" t="s">
        <v>95</v>
      </c>
      <c r="I519">
        <v>54663</v>
      </c>
      <c r="J519">
        <v>7</v>
      </c>
      <c r="K519" t="s">
        <v>49</v>
      </c>
      <c r="L519">
        <v>6954.31</v>
      </c>
      <c r="M519" t="str">
        <f t="shared" si="16"/>
        <v>Mar</v>
      </c>
      <c r="N519">
        <f t="shared" si="17"/>
        <v>2025</v>
      </c>
    </row>
    <row r="520" spans="1:14" x14ac:dyDescent="0.3">
      <c r="A520" t="s">
        <v>862</v>
      </c>
      <c r="B520" s="5">
        <v>45916</v>
      </c>
      <c r="C520" t="s">
        <v>56</v>
      </c>
      <c r="D520" t="s">
        <v>38</v>
      </c>
      <c r="E520" t="s">
        <v>52</v>
      </c>
      <c r="F520" t="s">
        <v>25</v>
      </c>
      <c r="G520" t="s">
        <v>26</v>
      </c>
      <c r="H520" t="s">
        <v>27</v>
      </c>
      <c r="I520">
        <v>15445</v>
      </c>
      <c r="J520">
        <v>5</v>
      </c>
      <c r="K520" t="s">
        <v>20</v>
      </c>
      <c r="L520">
        <v>2690.86</v>
      </c>
      <c r="M520" t="str">
        <f t="shared" si="16"/>
        <v>Sep</v>
      </c>
      <c r="N520">
        <f t="shared" si="17"/>
        <v>2025</v>
      </c>
    </row>
    <row r="521" spans="1:14" x14ac:dyDescent="0.3">
      <c r="A521" t="s">
        <v>864</v>
      </c>
      <c r="B521" s="5">
        <v>45867</v>
      </c>
      <c r="C521" t="s">
        <v>44</v>
      </c>
      <c r="D521" t="s">
        <v>38</v>
      </c>
      <c r="E521" t="s">
        <v>52</v>
      </c>
      <c r="F521" t="s">
        <v>25</v>
      </c>
      <c r="G521" t="s">
        <v>40</v>
      </c>
      <c r="H521" t="s">
        <v>41</v>
      </c>
      <c r="I521">
        <v>63138</v>
      </c>
      <c r="J521">
        <v>6</v>
      </c>
      <c r="K521" t="s">
        <v>49</v>
      </c>
      <c r="L521">
        <v>14183.45</v>
      </c>
      <c r="M521" t="str">
        <f t="shared" si="16"/>
        <v>Jul</v>
      </c>
      <c r="N521">
        <f t="shared" si="17"/>
        <v>2025</v>
      </c>
    </row>
    <row r="522" spans="1:14" x14ac:dyDescent="0.3">
      <c r="A522" t="s">
        <v>865</v>
      </c>
      <c r="B522" s="5">
        <v>45696</v>
      </c>
      <c r="C522" t="s">
        <v>37</v>
      </c>
      <c r="D522" t="s">
        <v>15</v>
      </c>
      <c r="E522" t="s">
        <v>73</v>
      </c>
      <c r="F522" t="s">
        <v>46</v>
      </c>
      <c r="G522" t="s">
        <v>87</v>
      </c>
      <c r="H522" t="s">
        <v>88</v>
      </c>
      <c r="I522">
        <v>48737</v>
      </c>
      <c r="J522">
        <v>10</v>
      </c>
      <c r="K522" t="s">
        <v>28</v>
      </c>
      <c r="L522">
        <v>3515.81</v>
      </c>
      <c r="M522" t="str">
        <f t="shared" si="16"/>
        <v>Feb</v>
      </c>
      <c r="N522">
        <f t="shared" si="17"/>
        <v>2025</v>
      </c>
    </row>
    <row r="523" spans="1:14" x14ac:dyDescent="0.3">
      <c r="A523" t="s">
        <v>866</v>
      </c>
      <c r="B523" s="5">
        <v>45790</v>
      </c>
      <c r="C523" t="s">
        <v>56</v>
      </c>
      <c r="D523" t="s">
        <v>15</v>
      </c>
      <c r="E523" t="s">
        <v>154</v>
      </c>
      <c r="F523" t="s">
        <v>46</v>
      </c>
      <c r="G523" t="s">
        <v>94</v>
      </c>
      <c r="H523" t="s">
        <v>95</v>
      </c>
      <c r="I523">
        <v>68442</v>
      </c>
      <c r="J523">
        <v>9</v>
      </c>
      <c r="K523" t="s">
        <v>20</v>
      </c>
      <c r="L523">
        <v>17149.310000000001</v>
      </c>
      <c r="M523" t="str">
        <f t="shared" si="16"/>
        <v>May</v>
      </c>
      <c r="N523">
        <f t="shared" si="17"/>
        <v>2025</v>
      </c>
    </row>
    <row r="524" spans="1:14" x14ac:dyDescent="0.3">
      <c r="A524" t="s">
        <v>868</v>
      </c>
      <c r="B524" s="5">
        <v>45950</v>
      </c>
      <c r="C524" t="s">
        <v>44</v>
      </c>
      <c r="D524" t="s">
        <v>23</v>
      </c>
      <c r="E524" t="s">
        <v>82</v>
      </c>
      <c r="F524" t="s">
        <v>17</v>
      </c>
      <c r="G524" t="s">
        <v>18</v>
      </c>
      <c r="H524" t="s">
        <v>19</v>
      </c>
      <c r="I524">
        <v>43201</v>
      </c>
      <c r="J524">
        <v>3</v>
      </c>
      <c r="K524" t="s">
        <v>20</v>
      </c>
      <c r="L524">
        <v>5272.8</v>
      </c>
      <c r="M524" t="str">
        <f t="shared" si="16"/>
        <v>Oct</v>
      </c>
      <c r="N524">
        <f t="shared" si="17"/>
        <v>2025</v>
      </c>
    </row>
    <row r="525" spans="1:14" x14ac:dyDescent="0.3">
      <c r="A525" t="s">
        <v>869</v>
      </c>
      <c r="B525" s="5">
        <v>45662</v>
      </c>
      <c r="C525" t="s">
        <v>56</v>
      </c>
      <c r="D525" t="s">
        <v>38</v>
      </c>
      <c r="E525" t="s">
        <v>52</v>
      </c>
      <c r="F525" t="s">
        <v>46</v>
      </c>
      <c r="G525" t="s">
        <v>94</v>
      </c>
      <c r="H525" t="s">
        <v>95</v>
      </c>
      <c r="I525">
        <v>79734</v>
      </c>
      <c r="J525">
        <v>5</v>
      </c>
      <c r="K525" t="s">
        <v>20</v>
      </c>
      <c r="L525">
        <v>18129.27</v>
      </c>
      <c r="M525" t="str">
        <f t="shared" si="16"/>
        <v>Jan</v>
      </c>
      <c r="N525">
        <f t="shared" si="17"/>
        <v>2025</v>
      </c>
    </row>
    <row r="526" spans="1:14" x14ac:dyDescent="0.3">
      <c r="A526" t="s">
        <v>870</v>
      </c>
      <c r="B526" s="5">
        <v>46000</v>
      </c>
      <c r="C526" t="s">
        <v>66</v>
      </c>
      <c r="D526" t="s">
        <v>38</v>
      </c>
      <c r="E526" t="s">
        <v>52</v>
      </c>
      <c r="F526" t="s">
        <v>46</v>
      </c>
      <c r="G526" t="s">
        <v>47</v>
      </c>
      <c r="H526" t="s">
        <v>48</v>
      </c>
      <c r="I526">
        <v>26895</v>
      </c>
      <c r="J526">
        <v>7</v>
      </c>
      <c r="K526" t="s">
        <v>20</v>
      </c>
      <c r="L526">
        <v>3969.34</v>
      </c>
      <c r="M526" t="str">
        <f t="shared" si="16"/>
        <v>Dec</v>
      </c>
      <c r="N526">
        <f t="shared" si="17"/>
        <v>2025</v>
      </c>
    </row>
    <row r="527" spans="1:14" x14ac:dyDescent="0.3">
      <c r="A527" t="s">
        <v>871</v>
      </c>
      <c r="B527" s="5">
        <v>45915</v>
      </c>
      <c r="C527" t="s">
        <v>66</v>
      </c>
      <c r="D527" t="s">
        <v>38</v>
      </c>
      <c r="E527" t="s">
        <v>39</v>
      </c>
      <c r="F527" t="s">
        <v>25</v>
      </c>
      <c r="G527" t="s">
        <v>26</v>
      </c>
      <c r="H527" t="s">
        <v>27</v>
      </c>
      <c r="I527">
        <v>78224</v>
      </c>
      <c r="J527">
        <v>6</v>
      </c>
      <c r="K527" t="s">
        <v>53</v>
      </c>
      <c r="L527">
        <v>13544.37</v>
      </c>
      <c r="M527" t="str">
        <f t="shared" si="16"/>
        <v>Sep</v>
      </c>
      <c r="N527">
        <f t="shared" si="17"/>
        <v>2025</v>
      </c>
    </row>
    <row r="528" spans="1:14" x14ac:dyDescent="0.3">
      <c r="A528" t="s">
        <v>872</v>
      </c>
      <c r="B528" s="5">
        <v>45783</v>
      </c>
      <c r="C528" t="s">
        <v>72</v>
      </c>
      <c r="D528" t="s">
        <v>38</v>
      </c>
      <c r="E528" t="s">
        <v>39</v>
      </c>
      <c r="F528" t="s">
        <v>17</v>
      </c>
      <c r="G528" t="s">
        <v>104</v>
      </c>
      <c r="H528" t="s">
        <v>105</v>
      </c>
      <c r="I528">
        <v>31873</v>
      </c>
      <c r="J528">
        <v>6</v>
      </c>
      <c r="K528" t="s">
        <v>53</v>
      </c>
      <c r="L528">
        <v>2274.0300000000002</v>
      </c>
      <c r="M528" t="str">
        <f t="shared" si="16"/>
        <v>May</v>
      </c>
      <c r="N528">
        <f t="shared" si="17"/>
        <v>2025</v>
      </c>
    </row>
    <row r="529" spans="1:14" x14ac:dyDescent="0.3">
      <c r="A529" t="s">
        <v>873</v>
      </c>
      <c r="B529" s="5">
        <v>45665</v>
      </c>
      <c r="C529" t="s">
        <v>31</v>
      </c>
      <c r="D529" t="s">
        <v>23</v>
      </c>
      <c r="E529" t="s">
        <v>24</v>
      </c>
      <c r="F529" t="s">
        <v>17</v>
      </c>
      <c r="G529" t="s">
        <v>104</v>
      </c>
      <c r="H529" t="s">
        <v>105</v>
      </c>
      <c r="I529">
        <v>4028</v>
      </c>
      <c r="J529">
        <v>4</v>
      </c>
      <c r="K529" t="s">
        <v>28</v>
      </c>
      <c r="L529">
        <v>979.6</v>
      </c>
      <c r="M529" t="str">
        <f t="shared" si="16"/>
        <v>Jan</v>
      </c>
      <c r="N529">
        <f t="shared" si="17"/>
        <v>2025</v>
      </c>
    </row>
    <row r="530" spans="1:14" x14ac:dyDescent="0.3">
      <c r="A530" t="s">
        <v>874</v>
      </c>
      <c r="B530" s="5">
        <v>45848</v>
      </c>
      <c r="C530" t="s">
        <v>66</v>
      </c>
      <c r="D530" t="s">
        <v>32</v>
      </c>
      <c r="E530" t="s">
        <v>45</v>
      </c>
      <c r="F530" t="s">
        <v>17</v>
      </c>
      <c r="G530" t="s">
        <v>18</v>
      </c>
      <c r="H530" t="s">
        <v>19</v>
      </c>
      <c r="I530">
        <v>45166</v>
      </c>
      <c r="J530">
        <v>10</v>
      </c>
      <c r="K530" t="s">
        <v>28</v>
      </c>
      <c r="L530">
        <v>8526.68</v>
      </c>
      <c r="M530" t="str">
        <f t="shared" si="16"/>
        <v>Jul</v>
      </c>
      <c r="N530">
        <f t="shared" si="17"/>
        <v>2025</v>
      </c>
    </row>
    <row r="531" spans="1:14" x14ac:dyDescent="0.3">
      <c r="A531" t="s">
        <v>875</v>
      </c>
      <c r="B531" s="5">
        <v>45730</v>
      </c>
      <c r="C531" t="s">
        <v>44</v>
      </c>
      <c r="D531" t="s">
        <v>32</v>
      </c>
      <c r="E531" t="s">
        <v>33</v>
      </c>
      <c r="F531" t="s">
        <v>25</v>
      </c>
      <c r="G531" t="s">
        <v>40</v>
      </c>
      <c r="H531" t="s">
        <v>41</v>
      </c>
      <c r="I531">
        <v>64666</v>
      </c>
      <c r="J531">
        <v>7</v>
      </c>
      <c r="K531" t="s">
        <v>49</v>
      </c>
      <c r="L531">
        <v>10158.49</v>
      </c>
      <c r="M531" t="str">
        <f t="shared" si="16"/>
        <v>Mar</v>
      </c>
      <c r="N531">
        <f t="shared" si="17"/>
        <v>2025</v>
      </c>
    </row>
    <row r="532" spans="1:14" x14ac:dyDescent="0.3">
      <c r="A532" t="s">
        <v>876</v>
      </c>
      <c r="B532" s="5">
        <v>45820</v>
      </c>
      <c r="C532" t="s">
        <v>63</v>
      </c>
      <c r="D532" t="s">
        <v>23</v>
      </c>
      <c r="E532" t="s">
        <v>129</v>
      </c>
      <c r="F532" t="s">
        <v>25</v>
      </c>
      <c r="G532" t="s">
        <v>26</v>
      </c>
      <c r="H532" t="s">
        <v>27</v>
      </c>
      <c r="I532">
        <v>52707</v>
      </c>
      <c r="J532">
        <v>6</v>
      </c>
      <c r="K532" t="s">
        <v>28</v>
      </c>
      <c r="L532">
        <v>10175.200000000001</v>
      </c>
      <c r="M532" t="str">
        <f t="shared" si="16"/>
        <v>Jun</v>
      </c>
      <c r="N532">
        <f t="shared" si="17"/>
        <v>2025</v>
      </c>
    </row>
    <row r="533" spans="1:14" x14ac:dyDescent="0.3">
      <c r="A533" t="s">
        <v>877</v>
      </c>
      <c r="B533" s="5">
        <v>45800</v>
      </c>
      <c r="C533" t="s">
        <v>44</v>
      </c>
      <c r="D533" t="s">
        <v>32</v>
      </c>
      <c r="E533" t="s">
        <v>116</v>
      </c>
      <c r="F533" t="s">
        <v>17</v>
      </c>
      <c r="G533" t="s">
        <v>104</v>
      </c>
      <c r="H533" t="s">
        <v>105</v>
      </c>
      <c r="I533">
        <v>20824</v>
      </c>
      <c r="J533">
        <v>9</v>
      </c>
      <c r="K533" t="s">
        <v>53</v>
      </c>
      <c r="L533">
        <v>1805.62</v>
      </c>
      <c r="M533" t="str">
        <f t="shared" si="16"/>
        <v>May</v>
      </c>
      <c r="N533">
        <f t="shared" si="17"/>
        <v>2025</v>
      </c>
    </row>
    <row r="534" spans="1:14" x14ac:dyDescent="0.3">
      <c r="A534" t="s">
        <v>878</v>
      </c>
      <c r="B534" s="5">
        <v>46016</v>
      </c>
      <c r="C534" t="s">
        <v>44</v>
      </c>
      <c r="D534" t="s">
        <v>15</v>
      </c>
      <c r="E534" t="s">
        <v>73</v>
      </c>
      <c r="F534" t="s">
        <v>17</v>
      </c>
      <c r="G534" t="s">
        <v>76</v>
      </c>
      <c r="H534" t="s">
        <v>77</v>
      </c>
      <c r="I534">
        <v>28788</v>
      </c>
      <c r="J534">
        <v>4</v>
      </c>
      <c r="K534" t="s">
        <v>49</v>
      </c>
      <c r="L534">
        <v>4045.7</v>
      </c>
      <c r="M534" t="str">
        <f t="shared" si="16"/>
        <v>Dec</v>
      </c>
      <c r="N534">
        <f t="shared" si="17"/>
        <v>2025</v>
      </c>
    </row>
    <row r="535" spans="1:14" x14ac:dyDescent="0.3">
      <c r="A535" t="s">
        <v>879</v>
      </c>
      <c r="B535" s="5">
        <v>45682</v>
      </c>
      <c r="C535" t="s">
        <v>44</v>
      </c>
      <c r="D535" t="s">
        <v>23</v>
      </c>
      <c r="E535" t="s">
        <v>24</v>
      </c>
      <c r="F535" t="s">
        <v>46</v>
      </c>
      <c r="G535" t="s">
        <v>94</v>
      </c>
      <c r="H535" t="s">
        <v>95</v>
      </c>
      <c r="I535">
        <v>75947</v>
      </c>
      <c r="J535">
        <v>10</v>
      </c>
      <c r="K535" t="s">
        <v>20</v>
      </c>
      <c r="L535">
        <v>11663.55</v>
      </c>
      <c r="M535" t="str">
        <f t="shared" si="16"/>
        <v>Jan</v>
      </c>
      <c r="N535">
        <f t="shared" si="17"/>
        <v>2025</v>
      </c>
    </row>
    <row r="536" spans="1:14" x14ac:dyDescent="0.3">
      <c r="A536" t="s">
        <v>880</v>
      </c>
      <c r="B536" s="5">
        <v>45665</v>
      </c>
      <c r="C536" t="s">
        <v>14</v>
      </c>
      <c r="D536" t="s">
        <v>15</v>
      </c>
      <c r="E536" t="s">
        <v>16</v>
      </c>
      <c r="F536" t="s">
        <v>17</v>
      </c>
      <c r="G536" t="s">
        <v>76</v>
      </c>
      <c r="H536" t="s">
        <v>77</v>
      </c>
      <c r="I536">
        <v>51390</v>
      </c>
      <c r="J536">
        <v>10</v>
      </c>
      <c r="K536" t="s">
        <v>28</v>
      </c>
      <c r="L536">
        <v>13599.94</v>
      </c>
      <c r="M536" t="str">
        <f t="shared" si="16"/>
        <v>Jan</v>
      </c>
      <c r="N536">
        <f t="shared" si="17"/>
        <v>2025</v>
      </c>
    </row>
    <row r="537" spans="1:14" x14ac:dyDescent="0.3">
      <c r="A537" t="s">
        <v>881</v>
      </c>
      <c r="B537" s="5">
        <v>45963</v>
      </c>
      <c r="C537" t="s">
        <v>72</v>
      </c>
      <c r="D537" t="s">
        <v>32</v>
      </c>
      <c r="E537" t="s">
        <v>33</v>
      </c>
      <c r="F537" t="s">
        <v>17</v>
      </c>
      <c r="G537" t="s">
        <v>104</v>
      </c>
      <c r="H537" t="s">
        <v>105</v>
      </c>
      <c r="I537">
        <v>40430</v>
      </c>
      <c r="J537">
        <v>1</v>
      </c>
      <c r="K537" t="s">
        <v>28</v>
      </c>
      <c r="L537">
        <v>8402.76</v>
      </c>
      <c r="M537" t="str">
        <f t="shared" si="16"/>
        <v>Nov</v>
      </c>
      <c r="N537">
        <f t="shared" si="17"/>
        <v>2025</v>
      </c>
    </row>
    <row r="538" spans="1:14" x14ac:dyDescent="0.3">
      <c r="A538" t="s">
        <v>882</v>
      </c>
      <c r="B538" s="5">
        <v>45674</v>
      </c>
      <c r="C538" t="s">
        <v>44</v>
      </c>
      <c r="D538" t="s">
        <v>32</v>
      </c>
      <c r="E538" t="s">
        <v>33</v>
      </c>
      <c r="F538" t="s">
        <v>46</v>
      </c>
      <c r="G538" t="s">
        <v>47</v>
      </c>
      <c r="H538" t="s">
        <v>48</v>
      </c>
      <c r="I538">
        <v>26833</v>
      </c>
      <c r="J538">
        <v>8</v>
      </c>
      <c r="K538" t="s">
        <v>49</v>
      </c>
      <c r="L538">
        <v>5147.4399999999996</v>
      </c>
      <c r="M538" t="str">
        <f t="shared" si="16"/>
        <v>Jan</v>
      </c>
      <c r="N538">
        <f t="shared" si="17"/>
        <v>2025</v>
      </c>
    </row>
    <row r="539" spans="1:14" x14ac:dyDescent="0.3">
      <c r="A539" t="s">
        <v>883</v>
      </c>
      <c r="B539" s="5">
        <v>45735</v>
      </c>
      <c r="C539" t="s">
        <v>63</v>
      </c>
      <c r="D539" t="s">
        <v>23</v>
      </c>
      <c r="E539" t="s">
        <v>129</v>
      </c>
      <c r="F539" t="s">
        <v>46</v>
      </c>
      <c r="G539" t="s">
        <v>94</v>
      </c>
      <c r="H539" t="s">
        <v>95</v>
      </c>
      <c r="I539">
        <v>79185</v>
      </c>
      <c r="J539">
        <v>5</v>
      </c>
      <c r="K539" t="s">
        <v>53</v>
      </c>
      <c r="L539">
        <v>9566.93</v>
      </c>
      <c r="M539" t="str">
        <f t="shared" si="16"/>
        <v>Mar</v>
      </c>
      <c r="N539">
        <f t="shared" si="17"/>
        <v>2025</v>
      </c>
    </row>
    <row r="540" spans="1:14" x14ac:dyDescent="0.3">
      <c r="A540" t="s">
        <v>885</v>
      </c>
      <c r="B540" s="5">
        <v>45844</v>
      </c>
      <c r="C540" t="s">
        <v>121</v>
      </c>
      <c r="D540" t="s">
        <v>15</v>
      </c>
      <c r="E540" t="s">
        <v>73</v>
      </c>
      <c r="F540" t="s">
        <v>46</v>
      </c>
      <c r="G540" t="s">
        <v>87</v>
      </c>
      <c r="H540" t="s">
        <v>88</v>
      </c>
      <c r="I540">
        <v>30249</v>
      </c>
      <c r="J540">
        <v>2</v>
      </c>
      <c r="K540" t="s">
        <v>20</v>
      </c>
      <c r="L540">
        <v>8343.1299999999992</v>
      </c>
      <c r="M540" t="str">
        <f t="shared" si="16"/>
        <v>Jul</v>
      </c>
      <c r="N540">
        <f t="shared" si="17"/>
        <v>2025</v>
      </c>
    </row>
    <row r="541" spans="1:14" x14ac:dyDescent="0.3">
      <c r="A541" t="s">
        <v>887</v>
      </c>
      <c r="B541" s="5">
        <v>45761</v>
      </c>
      <c r="C541" t="s">
        <v>44</v>
      </c>
      <c r="D541" t="s">
        <v>15</v>
      </c>
      <c r="E541" t="s">
        <v>16</v>
      </c>
      <c r="F541" t="s">
        <v>46</v>
      </c>
      <c r="G541" t="s">
        <v>47</v>
      </c>
      <c r="H541" t="s">
        <v>48</v>
      </c>
      <c r="I541">
        <v>54609</v>
      </c>
      <c r="J541">
        <v>6</v>
      </c>
      <c r="K541" t="s">
        <v>53</v>
      </c>
      <c r="L541">
        <v>6189.62</v>
      </c>
      <c r="M541" t="str">
        <f t="shared" si="16"/>
        <v>Apr</v>
      </c>
      <c r="N541">
        <f t="shared" si="17"/>
        <v>2025</v>
      </c>
    </row>
    <row r="542" spans="1:14" x14ac:dyDescent="0.3">
      <c r="A542" t="s">
        <v>888</v>
      </c>
      <c r="B542" s="5">
        <v>45981</v>
      </c>
      <c r="C542" t="s">
        <v>14</v>
      </c>
      <c r="D542" t="s">
        <v>32</v>
      </c>
      <c r="E542" t="s">
        <v>45</v>
      </c>
      <c r="F542" t="s">
        <v>25</v>
      </c>
      <c r="G542" t="s">
        <v>40</v>
      </c>
      <c r="H542" t="s">
        <v>41</v>
      </c>
      <c r="I542">
        <v>4505</v>
      </c>
      <c r="J542">
        <v>4</v>
      </c>
      <c r="K542" t="s">
        <v>28</v>
      </c>
      <c r="L542">
        <v>699.03</v>
      </c>
      <c r="M542" t="str">
        <f t="shared" si="16"/>
        <v>Nov</v>
      </c>
      <c r="N542">
        <f t="shared" si="17"/>
        <v>2025</v>
      </c>
    </row>
    <row r="543" spans="1:14" x14ac:dyDescent="0.3">
      <c r="A543" t="s">
        <v>889</v>
      </c>
      <c r="B543" s="5">
        <v>45938</v>
      </c>
      <c r="C543" t="s">
        <v>14</v>
      </c>
      <c r="D543" t="s">
        <v>38</v>
      </c>
      <c r="E543" t="s">
        <v>52</v>
      </c>
      <c r="F543" t="s">
        <v>46</v>
      </c>
      <c r="G543" t="s">
        <v>87</v>
      </c>
      <c r="H543" t="s">
        <v>88</v>
      </c>
      <c r="I543">
        <v>36373</v>
      </c>
      <c r="J543">
        <v>7</v>
      </c>
      <c r="K543" t="s">
        <v>20</v>
      </c>
      <c r="L543">
        <v>5092.25</v>
      </c>
      <c r="M543" t="str">
        <f t="shared" si="16"/>
        <v>Oct</v>
      </c>
      <c r="N543">
        <f t="shared" si="17"/>
        <v>2025</v>
      </c>
    </row>
    <row r="544" spans="1:14" x14ac:dyDescent="0.3">
      <c r="A544" t="s">
        <v>890</v>
      </c>
      <c r="B544" s="5">
        <v>45961</v>
      </c>
      <c r="C544" t="s">
        <v>44</v>
      </c>
      <c r="D544" t="s">
        <v>32</v>
      </c>
      <c r="E544" t="s">
        <v>116</v>
      </c>
      <c r="F544" t="s">
        <v>25</v>
      </c>
      <c r="G544" t="s">
        <v>26</v>
      </c>
      <c r="H544" t="s">
        <v>27</v>
      </c>
      <c r="I544">
        <v>53466</v>
      </c>
      <c r="J544">
        <v>6</v>
      </c>
      <c r="K544" t="s">
        <v>28</v>
      </c>
      <c r="L544">
        <v>5288</v>
      </c>
      <c r="M544" t="str">
        <f t="shared" si="16"/>
        <v>Oct</v>
      </c>
      <c r="N544">
        <f t="shared" si="17"/>
        <v>2025</v>
      </c>
    </row>
    <row r="545" spans="1:14" x14ac:dyDescent="0.3">
      <c r="A545" t="s">
        <v>891</v>
      </c>
      <c r="B545" s="5">
        <v>45845</v>
      </c>
      <c r="C545" t="s">
        <v>44</v>
      </c>
      <c r="D545" t="s">
        <v>23</v>
      </c>
      <c r="E545" t="s">
        <v>129</v>
      </c>
      <c r="F545" t="s">
        <v>25</v>
      </c>
      <c r="G545" t="s">
        <v>40</v>
      </c>
      <c r="H545" t="s">
        <v>41</v>
      </c>
      <c r="I545">
        <v>3183</v>
      </c>
      <c r="J545">
        <v>8</v>
      </c>
      <c r="K545" t="s">
        <v>34</v>
      </c>
      <c r="L545">
        <v>802.12</v>
      </c>
      <c r="M545" t="str">
        <f t="shared" si="16"/>
        <v>Jul</v>
      </c>
      <c r="N545">
        <f t="shared" si="17"/>
        <v>2025</v>
      </c>
    </row>
    <row r="546" spans="1:14" x14ac:dyDescent="0.3">
      <c r="A546" t="s">
        <v>892</v>
      </c>
      <c r="B546" s="5">
        <v>45686</v>
      </c>
      <c r="C546" t="s">
        <v>91</v>
      </c>
      <c r="D546" t="s">
        <v>38</v>
      </c>
      <c r="E546" t="s">
        <v>52</v>
      </c>
      <c r="F546" t="s">
        <v>17</v>
      </c>
      <c r="G546" t="s">
        <v>18</v>
      </c>
      <c r="H546" t="s">
        <v>19</v>
      </c>
      <c r="I546">
        <v>19515</v>
      </c>
      <c r="J546">
        <v>2</v>
      </c>
      <c r="K546" t="s">
        <v>49</v>
      </c>
      <c r="L546">
        <v>4398.87</v>
      </c>
      <c r="M546" t="str">
        <f t="shared" si="16"/>
        <v>Jan</v>
      </c>
      <c r="N546">
        <f t="shared" si="17"/>
        <v>2025</v>
      </c>
    </row>
    <row r="547" spans="1:14" x14ac:dyDescent="0.3">
      <c r="A547" t="s">
        <v>894</v>
      </c>
      <c r="B547" s="5">
        <v>46000</v>
      </c>
      <c r="C547" t="s">
        <v>14</v>
      </c>
      <c r="D547" t="s">
        <v>38</v>
      </c>
      <c r="E547" t="s">
        <v>39</v>
      </c>
      <c r="F547" t="s">
        <v>25</v>
      </c>
      <c r="G547" t="s">
        <v>40</v>
      </c>
      <c r="H547" t="s">
        <v>41</v>
      </c>
      <c r="I547">
        <v>61548</v>
      </c>
      <c r="J547">
        <v>2</v>
      </c>
      <c r="K547" t="s">
        <v>34</v>
      </c>
      <c r="L547">
        <v>10888.27</v>
      </c>
      <c r="M547" t="str">
        <f t="shared" si="16"/>
        <v>Dec</v>
      </c>
      <c r="N547">
        <f t="shared" si="17"/>
        <v>2025</v>
      </c>
    </row>
    <row r="548" spans="1:14" x14ac:dyDescent="0.3">
      <c r="A548" t="s">
        <v>895</v>
      </c>
      <c r="B548" s="5">
        <v>45998</v>
      </c>
      <c r="C548" t="s">
        <v>56</v>
      </c>
      <c r="D548" t="s">
        <v>38</v>
      </c>
      <c r="E548" t="s">
        <v>67</v>
      </c>
      <c r="F548" t="s">
        <v>25</v>
      </c>
      <c r="G548" t="s">
        <v>26</v>
      </c>
      <c r="H548" t="s">
        <v>27</v>
      </c>
      <c r="I548">
        <v>72860</v>
      </c>
      <c r="J548">
        <v>4</v>
      </c>
      <c r="K548" t="s">
        <v>53</v>
      </c>
      <c r="L548">
        <v>8465.1</v>
      </c>
      <c r="M548" t="str">
        <f t="shared" si="16"/>
        <v>Dec</v>
      </c>
      <c r="N548">
        <f t="shared" si="17"/>
        <v>2025</v>
      </c>
    </row>
    <row r="549" spans="1:14" x14ac:dyDescent="0.3">
      <c r="A549" t="s">
        <v>896</v>
      </c>
      <c r="B549" s="5">
        <v>45687</v>
      </c>
      <c r="C549" t="s">
        <v>37</v>
      </c>
      <c r="D549" t="s">
        <v>38</v>
      </c>
      <c r="E549" t="s">
        <v>52</v>
      </c>
      <c r="F549" t="s">
        <v>46</v>
      </c>
      <c r="G549" t="s">
        <v>94</v>
      </c>
      <c r="H549" t="s">
        <v>95</v>
      </c>
      <c r="I549">
        <v>55060</v>
      </c>
      <c r="J549">
        <v>4</v>
      </c>
      <c r="K549" t="s">
        <v>20</v>
      </c>
      <c r="L549">
        <v>11717.91</v>
      </c>
      <c r="M549" t="str">
        <f t="shared" si="16"/>
        <v>Jan</v>
      </c>
      <c r="N549">
        <f t="shared" si="17"/>
        <v>2025</v>
      </c>
    </row>
    <row r="550" spans="1:14" x14ac:dyDescent="0.3">
      <c r="A550" t="s">
        <v>897</v>
      </c>
      <c r="B550" s="5">
        <v>45860</v>
      </c>
      <c r="C550" t="s">
        <v>14</v>
      </c>
      <c r="D550" t="s">
        <v>38</v>
      </c>
      <c r="E550" t="s">
        <v>52</v>
      </c>
      <c r="F550" t="s">
        <v>17</v>
      </c>
      <c r="G550" t="s">
        <v>104</v>
      </c>
      <c r="H550" t="s">
        <v>105</v>
      </c>
      <c r="I550">
        <v>51177</v>
      </c>
      <c r="J550">
        <v>5</v>
      </c>
      <c r="K550" t="s">
        <v>49</v>
      </c>
      <c r="L550">
        <v>7614.21</v>
      </c>
      <c r="M550" t="str">
        <f t="shared" si="16"/>
        <v>Jul</v>
      </c>
      <c r="N550">
        <f t="shared" si="17"/>
        <v>2025</v>
      </c>
    </row>
    <row r="551" spans="1:14" x14ac:dyDescent="0.3">
      <c r="A551" t="s">
        <v>898</v>
      </c>
      <c r="B551" s="5">
        <v>45664</v>
      </c>
      <c r="C551" t="s">
        <v>121</v>
      </c>
      <c r="D551" t="s">
        <v>15</v>
      </c>
      <c r="E551" t="s">
        <v>73</v>
      </c>
      <c r="F551" t="s">
        <v>17</v>
      </c>
      <c r="G551" t="s">
        <v>76</v>
      </c>
      <c r="H551" t="s">
        <v>77</v>
      </c>
      <c r="I551">
        <v>9971</v>
      </c>
      <c r="J551">
        <v>9</v>
      </c>
      <c r="K551" t="s">
        <v>49</v>
      </c>
      <c r="L551">
        <v>1058.69</v>
      </c>
      <c r="M551" t="str">
        <f t="shared" si="16"/>
        <v>Jan</v>
      </c>
      <c r="N551">
        <f t="shared" si="17"/>
        <v>2025</v>
      </c>
    </row>
    <row r="552" spans="1:14" x14ac:dyDescent="0.3">
      <c r="A552" t="s">
        <v>899</v>
      </c>
      <c r="B552" s="5">
        <v>45971</v>
      </c>
      <c r="C552" t="s">
        <v>121</v>
      </c>
      <c r="D552" t="s">
        <v>15</v>
      </c>
      <c r="E552" t="s">
        <v>154</v>
      </c>
      <c r="F552" t="s">
        <v>25</v>
      </c>
      <c r="G552" t="s">
        <v>40</v>
      </c>
      <c r="H552" t="s">
        <v>41</v>
      </c>
      <c r="I552">
        <v>10538</v>
      </c>
      <c r="J552">
        <v>1</v>
      </c>
      <c r="K552" t="s">
        <v>53</v>
      </c>
      <c r="L552">
        <v>2491.62</v>
      </c>
      <c r="M552" t="str">
        <f t="shared" si="16"/>
        <v>Nov</v>
      </c>
      <c r="N552">
        <f t="shared" si="17"/>
        <v>2025</v>
      </c>
    </row>
    <row r="553" spans="1:14" x14ac:dyDescent="0.3">
      <c r="A553" t="s">
        <v>901</v>
      </c>
      <c r="B553" s="5">
        <v>45931</v>
      </c>
      <c r="C553" t="s">
        <v>37</v>
      </c>
      <c r="D553" t="s">
        <v>38</v>
      </c>
      <c r="E553" t="s">
        <v>39</v>
      </c>
      <c r="F553" t="s">
        <v>17</v>
      </c>
      <c r="G553" t="s">
        <v>76</v>
      </c>
      <c r="H553" t="s">
        <v>77</v>
      </c>
      <c r="I553">
        <v>50238</v>
      </c>
      <c r="J553">
        <v>1</v>
      </c>
      <c r="K553" t="s">
        <v>20</v>
      </c>
      <c r="L553">
        <v>8706</v>
      </c>
      <c r="M553" t="str">
        <f t="shared" si="16"/>
        <v>Oct</v>
      </c>
      <c r="N553">
        <f t="shared" si="17"/>
        <v>2025</v>
      </c>
    </row>
    <row r="554" spans="1:14" x14ac:dyDescent="0.3">
      <c r="A554" t="s">
        <v>902</v>
      </c>
      <c r="B554" s="5">
        <v>45720</v>
      </c>
      <c r="C554" t="s">
        <v>66</v>
      </c>
      <c r="D554" t="s">
        <v>15</v>
      </c>
      <c r="E554" t="s">
        <v>16</v>
      </c>
      <c r="F554" t="s">
        <v>46</v>
      </c>
      <c r="G554" t="s">
        <v>94</v>
      </c>
      <c r="H554" t="s">
        <v>95</v>
      </c>
      <c r="I554">
        <v>62550</v>
      </c>
      <c r="J554">
        <v>8</v>
      </c>
      <c r="K554" t="s">
        <v>34</v>
      </c>
      <c r="L554">
        <v>4004.21</v>
      </c>
      <c r="M554" t="str">
        <f t="shared" si="16"/>
        <v>Mar</v>
      </c>
      <c r="N554">
        <f t="shared" si="17"/>
        <v>2025</v>
      </c>
    </row>
    <row r="555" spans="1:14" x14ac:dyDescent="0.3">
      <c r="A555" t="s">
        <v>903</v>
      </c>
      <c r="B555" s="5">
        <v>45818</v>
      </c>
      <c r="C555" t="s">
        <v>37</v>
      </c>
      <c r="D555" t="s">
        <v>38</v>
      </c>
      <c r="E555" t="s">
        <v>67</v>
      </c>
      <c r="F555" t="s">
        <v>46</v>
      </c>
      <c r="G555" t="s">
        <v>94</v>
      </c>
      <c r="H555" t="s">
        <v>95</v>
      </c>
      <c r="I555">
        <v>16127</v>
      </c>
      <c r="J555">
        <v>5</v>
      </c>
      <c r="K555" t="s">
        <v>20</v>
      </c>
      <c r="L555">
        <v>3574.73</v>
      </c>
      <c r="M555" t="str">
        <f t="shared" si="16"/>
        <v>Jun</v>
      </c>
      <c r="N555">
        <f t="shared" si="17"/>
        <v>2025</v>
      </c>
    </row>
    <row r="556" spans="1:14" x14ac:dyDescent="0.3">
      <c r="A556" t="s">
        <v>905</v>
      </c>
      <c r="B556" s="5">
        <v>45735</v>
      </c>
      <c r="C556" t="s">
        <v>31</v>
      </c>
      <c r="D556" t="s">
        <v>32</v>
      </c>
      <c r="E556" t="s">
        <v>33</v>
      </c>
      <c r="F556" t="s">
        <v>46</v>
      </c>
      <c r="G556" t="s">
        <v>94</v>
      </c>
      <c r="H556" t="s">
        <v>95</v>
      </c>
      <c r="I556">
        <v>60964</v>
      </c>
      <c r="J556">
        <v>4</v>
      </c>
      <c r="K556" t="s">
        <v>28</v>
      </c>
      <c r="L556">
        <v>13619.55</v>
      </c>
      <c r="M556" t="str">
        <f t="shared" si="16"/>
        <v>Mar</v>
      </c>
      <c r="N556">
        <f t="shared" si="17"/>
        <v>2025</v>
      </c>
    </row>
    <row r="557" spans="1:14" x14ac:dyDescent="0.3">
      <c r="A557" t="s">
        <v>906</v>
      </c>
      <c r="B557" s="5">
        <v>45969</v>
      </c>
      <c r="C557" t="s">
        <v>121</v>
      </c>
      <c r="D557" t="s">
        <v>15</v>
      </c>
      <c r="E557" t="s">
        <v>73</v>
      </c>
      <c r="F557" t="s">
        <v>17</v>
      </c>
      <c r="G557" t="s">
        <v>104</v>
      </c>
      <c r="H557" t="s">
        <v>105</v>
      </c>
      <c r="I557">
        <v>16906</v>
      </c>
      <c r="J557">
        <v>5</v>
      </c>
      <c r="K557" t="s">
        <v>49</v>
      </c>
      <c r="L557">
        <v>4074.16</v>
      </c>
      <c r="M557" t="str">
        <f t="shared" si="16"/>
        <v>Nov</v>
      </c>
      <c r="N557">
        <f t="shared" si="17"/>
        <v>2025</v>
      </c>
    </row>
    <row r="558" spans="1:14" x14ac:dyDescent="0.3">
      <c r="A558" t="s">
        <v>908</v>
      </c>
      <c r="B558" s="5">
        <v>46006</v>
      </c>
      <c r="C558" t="s">
        <v>44</v>
      </c>
      <c r="D558" t="s">
        <v>38</v>
      </c>
      <c r="E558" t="s">
        <v>52</v>
      </c>
      <c r="F558" t="s">
        <v>25</v>
      </c>
      <c r="G558" t="s">
        <v>26</v>
      </c>
      <c r="H558" t="s">
        <v>27</v>
      </c>
      <c r="I558">
        <v>4755</v>
      </c>
      <c r="J558">
        <v>2</v>
      </c>
      <c r="K558" t="s">
        <v>53</v>
      </c>
      <c r="L558">
        <v>1119.3399999999999</v>
      </c>
      <c r="M558" t="str">
        <f t="shared" si="16"/>
        <v>Dec</v>
      </c>
      <c r="N558">
        <f t="shared" si="17"/>
        <v>2025</v>
      </c>
    </row>
    <row r="559" spans="1:14" x14ac:dyDescent="0.3">
      <c r="A559" t="s">
        <v>909</v>
      </c>
      <c r="B559" s="5">
        <v>45745</v>
      </c>
      <c r="C559" t="s">
        <v>44</v>
      </c>
      <c r="D559" t="s">
        <v>32</v>
      </c>
      <c r="E559" t="s">
        <v>116</v>
      </c>
      <c r="F559" t="s">
        <v>17</v>
      </c>
      <c r="G559" t="s">
        <v>104</v>
      </c>
      <c r="H559" t="s">
        <v>105</v>
      </c>
      <c r="I559">
        <v>19124</v>
      </c>
      <c r="J559">
        <v>10</v>
      </c>
      <c r="K559" t="s">
        <v>49</v>
      </c>
      <c r="L559">
        <v>4116.04</v>
      </c>
      <c r="M559" t="str">
        <f t="shared" si="16"/>
        <v>Mar</v>
      </c>
      <c r="N559">
        <f t="shared" si="17"/>
        <v>2025</v>
      </c>
    </row>
    <row r="560" spans="1:14" x14ac:dyDescent="0.3">
      <c r="A560" t="s">
        <v>911</v>
      </c>
      <c r="B560" s="5">
        <v>45719</v>
      </c>
      <c r="C560" t="s">
        <v>121</v>
      </c>
      <c r="D560" t="s">
        <v>32</v>
      </c>
      <c r="E560" t="s">
        <v>116</v>
      </c>
      <c r="F560" t="s">
        <v>46</v>
      </c>
      <c r="G560" t="s">
        <v>94</v>
      </c>
      <c r="H560" t="s">
        <v>95</v>
      </c>
      <c r="I560">
        <v>4373</v>
      </c>
      <c r="J560">
        <v>10</v>
      </c>
      <c r="K560" t="s">
        <v>34</v>
      </c>
      <c r="L560">
        <v>701.14</v>
      </c>
      <c r="M560" t="str">
        <f t="shared" si="16"/>
        <v>Mar</v>
      </c>
      <c r="N560">
        <f t="shared" si="17"/>
        <v>2025</v>
      </c>
    </row>
    <row r="561" spans="1:14" x14ac:dyDescent="0.3">
      <c r="A561" t="s">
        <v>913</v>
      </c>
      <c r="B561" s="5">
        <v>45988</v>
      </c>
      <c r="C561" t="s">
        <v>44</v>
      </c>
      <c r="D561" t="s">
        <v>15</v>
      </c>
      <c r="E561" t="s">
        <v>154</v>
      </c>
      <c r="F561" t="s">
        <v>25</v>
      </c>
      <c r="G561" t="s">
        <v>40</v>
      </c>
      <c r="H561" t="s">
        <v>41</v>
      </c>
      <c r="I561">
        <v>55539</v>
      </c>
      <c r="J561">
        <v>6</v>
      </c>
      <c r="K561" t="s">
        <v>20</v>
      </c>
      <c r="L561">
        <v>8601.17</v>
      </c>
      <c r="M561" t="str">
        <f t="shared" si="16"/>
        <v>Nov</v>
      </c>
      <c r="N561">
        <f t="shared" si="17"/>
        <v>2025</v>
      </c>
    </row>
    <row r="562" spans="1:14" x14ac:dyDescent="0.3">
      <c r="A562" t="s">
        <v>915</v>
      </c>
      <c r="B562" s="5">
        <v>45974</v>
      </c>
      <c r="C562" t="s">
        <v>14</v>
      </c>
      <c r="D562" t="s">
        <v>15</v>
      </c>
      <c r="E562" t="s">
        <v>73</v>
      </c>
      <c r="F562" t="s">
        <v>25</v>
      </c>
      <c r="G562" t="s">
        <v>57</v>
      </c>
      <c r="H562" t="s">
        <v>58</v>
      </c>
      <c r="I562">
        <v>18283</v>
      </c>
      <c r="J562">
        <v>7</v>
      </c>
      <c r="K562" t="s">
        <v>53</v>
      </c>
      <c r="L562">
        <v>3427.13</v>
      </c>
      <c r="M562" t="str">
        <f t="shared" si="16"/>
        <v>Nov</v>
      </c>
      <c r="N562">
        <f t="shared" si="17"/>
        <v>2025</v>
      </c>
    </row>
    <row r="563" spans="1:14" x14ac:dyDescent="0.3">
      <c r="A563" t="s">
        <v>916</v>
      </c>
      <c r="B563" s="5">
        <v>45882</v>
      </c>
      <c r="C563" t="s">
        <v>31</v>
      </c>
      <c r="D563" t="s">
        <v>32</v>
      </c>
      <c r="E563" t="s">
        <v>116</v>
      </c>
      <c r="F563" t="s">
        <v>17</v>
      </c>
      <c r="G563" t="s">
        <v>76</v>
      </c>
      <c r="H563" t="s">
        <v>77</v>
      </c>
      <c r="I563">
        <v>52422</v>
      </c>
      <c r="J563">
        <v>4</v>
      </c>
      <c r="K563" t="s">
        <v>49</v>
      </c>
      <c r="L563">
        <v>8146.85</v>
      </c>
      <c r="M563" t="str">
        <f t="shared" si="16"/>
        <v>Aug</v>
      </c>
      <c r="N563">
        <f t="shared" si="17"/>
        <v>2025</v>
      </c>
    </row>
    <row r="564" spans="1:14" x14ac:dyDescent="0.3">
      <c r="A564" t="s">
        <v>917</v>
      </c>
      <c r="B564" s="5">
        <v>45751</v>
      </c>
      <c r="C564" t="s">
        <v>121</v>
      </c>
      <c r="D564" t="s">
        <v>23</v>
      </c>
      <c r="E564" t="s">
        <v>82</v>
      </c>
      <c r="F564" t="s">
        <v>25</v>
      </c>
      <c r="G564" t="s">
        <v>57</v>
      </c>
      <c r="H564" t="s">
        <v>58</v>
      </c>
      <c r="I564">
        <v>70389</v>
      </c>
      <c r="J564">
        <v>5</v>
      </c>
      <c r="K564" t="s">
        <v>20</v>
      </c>
      <c r="L564">
        <v>7619.14</v>
      </c>
      <c r="M564" t="str">
        <f t="shared" si="16"/>
        <v>Apr</v>
      </c>
      <c r="N564">
        <f t="shared" si="17"/>
        <v>2025</v>
      </c>
    </row>
    <row r="565" spans="1:14" x14ac:dyDescent="0.3">
      <c r="A565" t="s">
        <v>919</v>
      </c>
      <c r="B565" s="5">
        <v>45967</v>
      </c>
      <c r="C565" t="s">
        <v>31</v>
      </c>
      <c r="D565" t="s">
        <v>32</v>
      </c>
      <c r="E565" t="s">
        <v>45</v>
      </c>
      <c r="F565" t="s">
        <v>17</v>
      </c>
      <c r="G565" t="s">
        <v>76</v>
      </c>
      <c r="H565" t="s">
        <v>77</v>
      </c>
      <c r="I565">
        <v>4782</v>
      </c>
      <c r="J565">
        <v>1</v>
      </c>
      <c r="K565" t="s">
        <v>34</v>
      </c>
      <c r="L565">
        <v>337.36</v>
      </c>
      <c r="M565" t="str">
        <f t="shared" si="16"/>
        <v>Nov</v>
      </c>
      <c r="N565">
        <f t="shared" si="17"/>
        <v>2025</v>
      </c>
    </row>
    <row r="566" spans="1:14" x14ac:dyDescent="0.3">
      <c r="A566" t="s">
        <v>920</v>
      </c>
      <c r="B566" s="5">
        <v>45891</v>
      </c>
      <c r="C566" t="s">
        <v>72</v>
      </c>
      <c r="D566" t="s">
        <v>38</v>
      </c>
      <c r="E566" t="s">
        <v>52</v>
      </c>
      <c r="F566" t="s">
        <v>17</v>
      </c>
      <c r="G566" t="s">
        <v>76</v>
      </c>
      <c r="H566" t="s">
        <v>77</v>
      </c>
      <c r="I566">
        <v>42137</v>
      </c>
      <c r="J566">
        <v>10</v>
      </c>
      <c r="K566" t="s">
        <v>20</v>
      </c>
      <c r="L566">
        <v>5537.6</v>
      </c>
      <c r="M566" t="str">
        <f t="shared" si="16"/>
        <v>Aug</v>
      </c>
      <c r="N566">
        <f t="shared" si="17"/>
        <v>2025</v>
      </c>
    </row>
    <row r="567" spans="1:14" x14ac:dyDescent="0.3">
      <c r="A567" t="s">
        <v>921</v>
      </c>
      <c r="B567" s="5">
        <v>45726</v>
      </c>
      <c r="C567" t="s">
        <v>91</v>
      </c>
      <c r="D567" t="s">
        <v>15</v>
      </c>
      <c r="E567" t="s">
        <v>154</v>
      </c>
      <c r="F567" t="s">
        <v>46</v>
      </c>
      <c r="G567" t="s">
        <v>47</v>
      </c>
      <c r="H567" t="s">
        <v>48</v>
      </c>
      <c r="I567">
        <v>12472</v>
      </c>
      <c r="J567">
        <v>4</v>
      </c>
      <c r="K567" t="s">
        <v>49</v>
      </c>
      <c r="L567">
        <v>1092.73</v>
      </c>
      <c r="M567" t="str">
        <f t="shared" si="16"/>
        <v>Mar</v>
      </c>
      <c r="N567">
        <f t="shared" si="17"/>
        <v>2025</v>
      </c>
    </row>
    <row r="568" spans="1:14" x14ac:dyDescent="0.3">
      <c r="A568" t="s">
        <v>922</v>
      </c>
      <c r="B568" s="5">
        <v>45742</v>
      </c>
      <c r="C568" t="s">
        <v>37</v>
      </c>
      <c r="D568" t="s">
        <v>23</v>
      </c>
      <c r="E568" t="s">
        <v>24</v>
      </c>
      <c r="F568" t="s">
        <v>25</v>
      </c>
      <c r="G568" t="s">
        <v>57</v>
      </c>
      <c r="H568" t="s">
        <v>58</v>
      </c>
      <c r="I568">
        <v>11977</v>
      </c>
      <c r="J568">
        <v>10</v>
      </c>
      <c r="K568" t="s">
        <v>20</v>
      </c>
      <c r="L568">
        <v>1978.81</v>
      </c>
      <c r="M568" t="str">
        <f t="shared" si="16"/>
        <v>Mar</v>
      </c>
      <c r="N568">
        <f t="shared" si="17"/>
        <v>2025</v>
      </c>
    </row>
    <row r="569" spans="1:14" x14ac:dyDescent="0.3">
      <c r="A569" t="s">
        <v>923</v>
      </c>
      <c r="B569" s="5">
        <v>45937</v>
      </c>
      <c r="C569" t="s">
        <v>44</v>
      </c>
      <c r="D569" t="s">
        <v>38</v>
      </c>
      <c r="E569" t="s">
        <v>52</v>
      </c>
      <c r="F569" t="s">
        <v>25</v>
      </c>
      <c r="G569" t="s">
        <v>26</v>
      </c>
      <c r="H569" t="s">
        <v>27</v>
      </c>
      <c r="I569">
        <v>78618</v>
      </c>
      <c r="J569">
        <v>1</v>
      </c>
      <c r="K569" t="s">
        <v>20</v>
      </c>
      <c r="L569">
        <v>18459.689999999999</v>
      </c>
      <c r="M569" t="str">
        <f t="shared" si="16"/>
        <v>Oct</v>
      </c>
      <c r="N569">
        <f t="shared" si="17"/>
        <v>2025</v>
      </c>
    </row>
    <row r="570" spans="1:14" x14ac:dyDescent="0.3">
      <c r="A570" t="s">
        <v>924</v>
      </c>
      <c r="B570" s="5">
        <v>45961</v>
      </c>
      <c r="C570" t="s">
        <v>91</v>
      </c>
      <c r="D570" t="s">
        <v>32</v>
      </c>
      <c r="E570" t="s">
        <v>33</v>
      </c>
      <c r="F570" t="s">
        <v>46</v>
      </c>
      <c r="G570" t="s">
        <v>94</v>
      </c>
      <c r="H570" t="s">
        <v>95</v>
      </c>
      <c r="I570">
        <v>11565</v>
      </c>
      <c r="J570">
        <v>1</v>
      </c>
      <c r="K570" t="s">
        <v>34</v>
      </c>
      <c r="L570">
        <v>2675.01</v>
      </c>
      <c r="M570" t="str">
        <f t="shared" si="16"/>
        <v>Oct</v>
      </c>
      <c r="N570">
        <f t="shared" si="17"/>
        <v>2025</v>
      </c>
    </row>
    <row r="571" spans="1:14" x14ac:dyDescent="0.3">
      <c r="A571" t="s">
        <v>925</v>
      </c>
      <c r="B571" s="5">
        <v>45903</v>
      </c>
      <c r="C571" t="s">
        <v>44</v>
      </c>
      <c r="D571" t="s">
        <v>38</v>
      </c>
      <c r="E571" t="s">
        <v>67</v>
      </c>
      <c r="F571" t="s">
        <v>17</v>
      </c>
      <c r="G571" t="s">
        <v>76</v>
      </c>
      <c r="H571" t="s">
        <v>77</v>
      </c>
      <c r="I571">
        <v>16237</v>
      </c>
      <c r="J571">
        <v>10</v>
      </c>
      <c r="K571" t="s">
        <v>20</v>
      </c>
      <c r="L571">
        <v>3805.44</v>
      </c>
      <c r="M571" t="str">
        <f t="shared" si="16"/>
        <v>Sep</v>
      </c>
      <c r="N571">
        <f t="shared" si="17"/>
        <v>2025</v>
      </c>
    </row>
    <row r="572" spans="1:14" x14ac:dyDescent="0.3">
      <c r="A572" t="s">
        <v>927</v>
      </c>
      <c r="B572" s="5">
        <v>45703</v>
      </c>
      <c r="C572" t="s">
        <v>121</v>
      </c>
      <c r="D572" t="s">
        <v>23</v>
      </c>
      <c r="E572" t="s">
        <v>24</v>
      </c>
      <c r="F572" t="s">
        <v>25</v>
      </c>
      <c r="G572" t="s">
        <v>40</v>
      </c>
      <c r="H572" t="s">
        <v>41</v>
      </c>
      <c r="I572">
        <v>74425</v>
      </c>
      <c r="J572">
        <v>4</v>
      </c>
      <c r="K572" t="s">
        <v>20</v>
      </c>
      <c r="L572">
        <v>6849.27</v>
      </c>
      <c r="M572" t="str">
        <f t="shared" si="16"/>
        <v>Feb</v>
      </c>
      <c r="N572">
        <f t="shared" si="17"/>
        <v>2025</v>
      </c>
    </row>
    <row r="573" spans="1:14" x14ac:dyDescent="0.3">
      <c r="A573" t="s">
        <v>928</v>
      </c>
      <c r="B573" s="5">
        <v>45745</v>
      </c>
      <c r="C573" t="s">
        <v>121</v>
      </c>
      <c r="D573" t="s">
        <v>38</v>
      </c>
      <c r="E573" t="s">
        <v>39</v>
      </c>
      <c r="F573" t="s">
        <v>25</v>
      </c>
      <c r="G573" t="s">
        <v>40</v>
      </c>
      <c r="H573" t="s">
        <v>41</v>
      </c>
      <c r="I573">
        <v>15872</v>
      </c>
      <c r="J573">
        <v>7</v>
      </c>
      <c r="K573" t="s">
        <v>28</v>
      </c>
      <c r="L573">
        <v>2845.55</v>
      </c>
      <c r="M573" t="str">
        <f t="shared" si="16"/>
        <v>Mar</v>
      </c>
      <c r="N573">
        <f t="shared" si="17"/>
        <v>2025</v>
      </c>
    </row>
    <row r="574" spans="1:14" x14ac:dyDescent="0.3">
      <c r="A574" t="s">
        <v>929</v>
      </c>
      <c r="B574" s="5">
        <v>45785</v>
      </c>
      <c r="C574" t="s">
        <v>121</v>
      </c>
      <c r="D574" t="s">
        <v>32</v>
      </c>
      <c r="E574" t="s">
        <v>116</v>
      </c>
      <c r="F574" t="s">
        <v>46</v>
      </c>
      <c r="G574" t="s">
        <v>94</v>
      </c>
      <c r="H574" t="s">
        <v>95</v>
      </c>
      <c r="I574">
        <v>44827</v>
      </c>
      <c r="J574">
        <v>8</v>
      </c>
      <c r="K574" t="s">
        <v>49</v>
      </c>
      <c r="L574">
        <v>6444.12</v>
      </c>
      <c r="M574" t="str">
        <f t="shared" si="16"/>
        <v>May</v>
      </c>
      <c r="N574">
        <f t="shared" si="17"/>
        <v>2025</v>
      </c>
    </row>
    <row r="575" spans="1:14" x14ac:dyDescent="0.3">
      <c r="A575" t="s">
        <v>930</v>
      </c>
      <c r="B575" s="5">
        <v>46021</v>
      </c>
      <c r="C575" t="s">
        <v>66</v>
      </c>
      <c r="D575" t="s">
        <v>15</v>
      </c>
      <c r="E575" t="s">
        <v>73</v>
      </c>
      <c r="F575" t="s">
        <v>25</v>
      </c>
      <c r="G575" t="s">
        <v>40</v>
      </c>
      <c r="H575" t="s">
        <v>41</v>
      </c>
      <c r="I575">
        <v>21104</v>
      </c>
      <c r="J575">
        <v>1</v>
      </c>
      <c r="K575" t="s">
        <v>49</v>
      </c>
      <c r="L575">
        <v>4428.1499999999996</v>
      </c>
      <c r="M575" t="str">
        <f t="shared" si="16"/>
        <v>Dec</v>
      </c>
      <c r="N575">
        <f t="shared" si="17"/>
        <v>2025</v>
      </c>
    </row>
    <row r="576" spans="1:14" x14ac:dyDescent="0.3">
      <c r="A576" t="s">
        <v>931</v>
      </c>
      <c r="B576" s="5">
        <v>45801</v>
      </c>
      <c r="C576" t="s">
        <v>31</v>
      </c>
      <c r="D576" t="s">
        <v>38</v>
      </c>
      <c r="E576" t="s">
        <v>67</v>
      </c>
      <c r="F576" t="s">
        <v>17</v>
      </c>
      <c r="G576" t="s">
        <v>18</v>
      </c>
      <c r="H576" t="s">
        <v>19</v>
      </c>
      <c r="I576">
        <v>27120</v>
      </c>
      <c r="J576">
        <v>6</v>
      </c>
      <c r="K576" t="s">
        <v>53</v>
      </c>
      <c r="L576">
        <v>6077.43</v>
      </c>
      <c r="M576" t="str">
        <f t="shared" si="16"/>
        <v>May</v>
      </c>
      <c r="N576">
        <f t="shared" si="17"/>
        <v>2025</v>
      </c>
    </row>
    <row r="577" spans="1:14" x14ac:dyDescent="0.3">
      <c r="A577" t="s">
        <v>932</v>
      </c>
      <c r="B577" s="5">
        <v>45917</v>
      </c>
      <c r="C577" t="s">
        <v>44</v>
      </c>
      <c r="D577" t="s">
        <v>32</v>
      </c>
      <c r="E577" t="s">
        <v>33</v>
      </c>
      <c r="F577" t="s">
        <v>17</v>
      </c>
      <c r="G577" t="s">
        <v>76</v>
      </c>
      <c r="H577" t="s">
        <v>77</v>
      </c>
      <c r="I577">
        <v>54725</v>
      </c>
      <c r="J577">
        <v>7</v>
      </c>
      <c r="K577" t="s">
        <v>20</v>
      </c>
      <c r="L577">
        <v>11070.49</v>
      </c>
      <c r="M577" t="str">
        <f t="shared" si="16"/>
        <v>Sep</v>
      </c>
      <c r="N577">
        <f t="shared" si="17"/>
        <v>2025</v>
      </c>
    </row>
    <row r="578" spans="1:14" x14ac:dyDescent="0.3">
      <c r="A578" t="s">
        <v>933</v>
      </c>
      <c r="B578" s="5">
        <v>45852</v>
      </c>
      <c r="C578" t="s">
        <v>56</v>
      </c>
      <c r="D578" t="s">
        <v>32</v>
      </c>
      <c r="E578" t="s">
        <v>33</v>
      </c>
      <c r="F578" t="s">
        <v>25</v>
      </c>
      <c r="G578" t="s">
        <v>26</v>
      </c>
      <c r="H578" t="s">
        <v>27</v>
      </c>
      <c r="I578">
        <v>10073</v>
      </c>
      <c r="J578">
        <v>7</v>
      </c>
      <c r="K578" t="s">
        <v>20</v>
      </c>
      <c r="L578">
        <v>2647.66</v>
      </c>
      <c r="M578" t="str">
        <f t="shared" si="16"/>
        <v>Jul</v>
      </c>
      <c r="N578">
        <f t="shared" si="17"/>
        <v>2025</v>
      </c>
    </row>
    <row r="579" spans="1:14" x14ac:dyDescent="0.3">
      <c r="A579" t="s">
        <v>934</v>
      </c>
      <c r="B579" s="5">
        <v>45753</v>
      </c>
      <c r="C579" t="s">
        <v>66</v>
      </c>
      <c r="D579" t="s">
        <v>38</v>
      </c>
      <c r="E579" t="s">
        <v>52</v>
      </c>
      <c r="F579" t="s">
        <v>25</v>
      </c>
      <c r="G579" t="s">
        <v>40</v>
      </c>
      <c r="H579" t="s">
        <v>41</v>
      </c>
      <c r="I579">
        <v>77607</v>
      </c>
      <c r="J579">
        <v>8</v>
      </c>
      <c r="K579" t="s">
        <v>49</v>
      </c>
      <c r="L579">
        <v>10916.25</v>
      </c>
      <c r="M579" t="str">
        <f t="shared" ref="M579:M642" si="18">TEXT(B579,"mmm")</f>
        <v>Apr</v>
      </c>
      <c r="N579">
        <f t="shared" ref="N579:N642" si="19">YEAR(B579)</f>
        <v>2025</v>
      </c>
    </row>
    <row r="580" spans="1:14" x14ac:dyDescent="0.3">
      <c r="A580" t="s">
        <v>936</v>
      </c>
      <c r="B580" s="5">
        <v>45808</v>
      </c>
      <c r="C580" t="s">
        <v>37</v>
      </c>
      <c r="D580" t="s">
        <v>32</v>
      </c>
      <c r="E580" t="s">
        <v>45</v>
      </c>
      <c r="F580" t="s">
        <v>17</v>
      </c>
      <c r="G580" t="s">
        <v>104</v>
      </c>
      <c r="H580" t="s">
        <v>105</v>
      </c>
      <c r="I580">
        <v>47405</v>
      </c>
      <c r="J580">
        <v>4</v>
      </c>
      <c r="K580" t="s">
        <v>28</v>
      </c>
      <c r="L580">
        <v>4083.72</v>
      </c>
      <c r="M580" t="str">
        <f t="shared" si="18"/>
        <v>May</v>
      </c>
      <c r="N580">
        <f t="shared" si="19"/>
        <v>2025</v>
      </c>
    </row>
    <row r="581" spans="1:14" x14ac:dyDescent="0.3">
      <c r="A581" t="s">
        <v>937</v>
      </c>
      <c r="B581" s="5">
        <v>46008</v>
      </c>
      <c r="C581" t="s">
        <v>44</v>
      </c>
      <c r="D581" t="s">
        <v>23</v>
      </c>
      <c r="E581" t="s">
        <v>82</v>
      </c>
      <c r="F581" t="s">
        <v>46</v>
      </c>
      <c r="G581" t="s">
        <v>94</v>
      </c>
      <c r="H581" t="s">
        <v>95</v>
      </c>
      <c r="I581">
        <v>63745</v>
      </c>
      <c r="J581">
        <v>1</v>
      </c>
      <c r="K581" t="s">
        <v>20</v>
      </c>
      <c r="L581">
        <v>16713.03</v>
      </c>
      <c r="M581" t="str">
        <f t="shared" si="18"/>
        <v>Dec</v>
      </c>
      <c r="N581">
        <f t="shared" si="19"/>
        <v>2025</v>
      </c>
    </row>
    <row r="582" spans="1:14" x14ac:dyDescent="0.3">
      <c r="A582" t="s">
        <v>939</v>
      </c>
      <c r="B582" s="5">
        <v>45883</v>
      </c>
      <c r="C582" t="s">
        <v>44</v>
      </c>
      <c r="D582" t="s">
        <v>38</v>
      </c>
      <c r="E582" t="s">
        <v>39</v>
      </c>
      <c r="F582" t="s">
        <v>25</v>
      </c>
      <c r="G582" t="s">
        <v>40</v>
      </c>
      <c r="H582" t="s">
        <v>41</v>
      </c>
      <c r="I582">
        <v>12101</v>
      </c>
      <c r="J582">
        <v>8</v>
      </c>
      <c r="K582" t="s">
        <v>34</v>
      </c>
      <c r="L582">
        <v>2186.08</v>
      </c>
      <c r="M582" t="str">
        <f t="shared" si="18"/>
        <v>Aug</v>
      </c>
      <c r="N582">
        <f t="shared" si="19"/>
        <v>2025</v>
      </c>
    </row>
    <row r="583" spans="1:14" x14ac:dyDescent="0.3">
      <c r="A583" t="s">
        <v>940</v>
      </c>
      <c r="B583" s="5">
        <v>45826</v>
      </c>
      <c r="C583" t="s">
        <v>121</v>
      </c>
      <c r="D583" t="s">
        <v>38</v>
      </c>
      <c r="E583" t="s">
        <v>67</v>
      </c>
      <c r="F583" t="s">
        <v>25</v>
      </c>
      <c r="G583" t="s">
        <v>40</v>
      </c>
      <c r="H583" t="s">
        <v>41</v>
      </c>
      <c r="I583">
        <v>24415</v>
      </c>
      <c r="J583">
        <v>2</v>
      </c>
      <c r="K583" t="s">
        <v>34</v>
      </c>
      <c r="L583">
        <v>6227.5</v>
      </c>
      <c r="M583" t="str">
        <f t="shared" si="18"/>
        <v>Jun</v>
      </c>
      <c r="N583">
        <f t="shared" si="19"/>
        <v>2025</v>
      </c>
    </row>
    <row r="584" spans="1:14" x14ac:dyDescent="0.3">
      <c r="A584" t="s">
        <v>941</v>
      </c>
      <c r="B584" s="5">
        <v>45870</v>
      </c>
      <c r="C584" t="s">
        <v>66</v>
      </c>
      <c r="D584" t="s">
        <v>32</v>
      </c>
      <c r="E584" t="s">
        <v>45</v>
      </c>
      <c r="F584" t="s">
        <v>46</v>
      </c>
      <c r="G584" t="s">
        <v>47</v>
      </c>
      <c r="H584" t="s">
        <v>48</v>
      </c>
      <c r="I584">
        <v>51269</v>
      </c>
      <c r="J584">
        <v>8</v>
      </c>
      <c r="K584" t="s">
        <v>49</v>
      </c>
      <c r="L584">
        <v>5572.75</v>
      </c>
      <c r="M584" t="str">
        <f t="shared" si="18"/>
        <v>Aug</v>
      </c>
      <c r="N584">
        <f t="shared" si="19"/>
        <v>2025</v>
      </c>
    </row>
    <row r="585" spans="1:14" x14ac:dyDescent="0.3">
      <c r="A585" t="s">
        <v>943</v>
      </c>
      <c r="B585" s="5">
        <v>45869</v>
      </c>
      <c r="C585" t="s">
        <v>72</v>
      </c>
      <c r="D585" t="s">
        <v>23</v>
      </c>
      <c r="E585" t="s">
        <v>24</v>
      </c>
      <c r="F585" t="s">
        <v>46</v>
      </c>
      <c r="G585" t="s">
        <v>87</v>
      </c>
      <c r="H585" t="s">
        <v>88</v>
      </c>
      <c r="I585">
        <v>34522</v>
      </c>
      <c r="J585">
        <v>9</v>
      </c>
      <c r="K585" t="s">
        <v>53</v>
      </c>
      <c r="L585">
        <v>5349.17</v>
      </c>
      <c r="M585" t="str">
        <f t="shared" si="18"/>
        <v>Jul</v>
      </c>
      <c r="N585">
        <f t="shared" si="19"/>
        <v>2025</v>
      </c>
    </row>
    <row r="586" spans="1:14" x14ac:dyDescent="0.3">
      <c r="A586" t="s">
        <v>945</v>
      </c>
      <c r="B586" s="5">
        <v>45755</v>
      </c>
      <c r="C586" t="s">
        <v>56</v>
      </c>
      <c r="D586" t="s">
        <v>23</v>
      </c>
      <c r="E586" t="s">
        <v>24</v>
      </c>
      <c r="F586" t="s">
        <v>46</v>
      </c>
      <c r="G586" t="s">
        <v>87</v>
      </c>
      <c r="H586" t="s">
        <v>88</v>
      </c>
      <c r="I586">
        <v>12640</v>
      </c>
      <c r="J586">
        <v>7</v>
      </c>
      <c r="K586" t="s">
        <v>53</v>
      </c>
      <c r="L586">
        <v>1190.9100000000001</v>
      </c>
      <c r="M586" t="str">
        <f t="shared" si="18"/>
        <v>Apr</v>
      </c>
      <c r="N586">
        <f t="shared" si="19"/>
        <v>2025</v>
      </c>
    </row>
    <row r="587" spans="1:14" x14ac:dyDescent="0.3">
      <c r="A587" t="s">
        <v>946</v>
      </c>
      <c r="B587" s="5">
        <v>45692</v>
      </c>
      <c r="C587" t="s">
        <v>72</v>
      </c>
      <c r="D587" t="s">
        <v>38</v>
      </c>
      <c r="E587" t="s">
        <v>67</v>
      </c>
      <c r="F587" t="s">
        <v>17</v>
      </c>
      <c r="G587" t="s">
        <v>76</v>
      </c>
      <c r="H587" t="s">
        <v>77</v>
      </c>
      <c r="I587">
        <v>57804</v>
      </c>
      <c r="J587">
        <v>6</v>
      </c>
      <c r="K587" t="s">
        <v>49</v>
      </c>
      <c r="L587">
        <v>13321.55</v>
      </c>
      <c r="M587" t="str">
        <f t="shared" si="18"/>
        <v>Feb</v>
      </c>
      <c r="N587">
        <f t="shared" si="19"/>
        <v>2025</v>
      </c>
    </row>
    <row r="588" spans="1:14" x14ac:dyDescent="0.3">
      <c r="A588" t="s">
        <v>947</v>
      </c>
      <c r="B588" s="5">
        <v>45804</v>
      </c>
      <c r="C588" t="s">
        <v>44</v>
      </c>
      <c r="D588" t="s">
        <v>23</v>
      </c>
      <c r="E588" t="s">
        <v>129</v>
      </c>
      <c r="F588" t="s">
        <v>46</v>
      </c>
      <c r="G588" t="s">
        <v>87</v>
      </c>
      <c r="H588" t="s">
        <v>88</v>
      </c>
      <c r="I588">
        <v>17255</v>
      </c>
      <c r="J588">
        <v>2</v>
      </c>
      <c r="K588" t="s">
        <v>20</v>
      </c>
      <c r="L588">
        <v>4408.74</v>
      </c>
      <c r="M588" t="str">
        <f t="shared" si="18"/>
        <v>May</v>
      </c>
      <c r="N588">
        <f t="shared" si="19"/>
        <v>2025</v>
      </c>
    </row>
    <row r="589" spans="1:14" x14ac:dyDescent="0.3">
      <c r="A589" t="s">
        <v>948</v>
      </c>
      <c r="B589" s="5">
        <v>45662</v>
      </c>
      <c r="C589" t="s">
        <v>72</v>
      </c>
      <c r="D589" t="s">
        <v>38</v>
      </c>
      <c r="E589" t="s">
        <v>52</v>
      </c>
      <c r="F589" t="s">
        <v>25</v>
      </c>
      <c r="G589" t="s">
        <v>26</v>
      </c>
      <c r="H589" t="s">
        <v>27</v>
      </c>
      <c r="I589">
        <v>6779</v>
      </c>
      <c r="J589">
        <v>8</v>
      </c>
      <c r="K589" t="s">
        <v>53</v>
      </c>
      <c r="L589">
        <v>1714.33</v>
      </c>
      <c r="M589" t="str">
        <f t="shared" si="18"/>
        <v>Jan</v>
      </c>
      <c r="N589">
        <f t="shared" si="19"/>
        <v>2025</v>
      </c>
    </row>
    <row r="590" spans="1:14" x14ac:dyDescent="0.3">
      <c r="A590" t="s">
        <v>949</v>
      </c>
      <c r="B590" s="5">
        <v>46009</v>
      </c>
      <c r="C590" t="s">
        <v>31</v>
      </c>
      <c r="D590" t="s">
        <v>32</v>
      </c>
      <c r="E590" t="s">
        <v>33</v>
      </c>
      <c r="F590" t="s">
        <v>46</v>
      </c>
      <c r="G590" t="s">
        <v>87</v>
      </c>
      <c r="H590" t="s">
        <v>88</v>
      </c>
      <c r="I590">
        <v>23747</v>
      </c>
      <c r="J590">
        <v>9</v>
      </c>
      <c r="K590" t="s">
        <v>20</v>
      </c>
      <c r="L590">
        <v>2572.46</v>
      </c>
      <c r="M590" t="str">
        <f t="shared" si="18"/>
        <v>Dec</v>
      </c>
      <c r="N590">
        <f t="shared" si="19"/>
        <v>2025</v>
      </c>
    </row>
    <row r="591" spans="1:14" x14ac:dyDescent="0.3">
      <c r="A591" t="s">
        <v>950</v>
      </c>
      <c r="B591" s="5">
        <v>45794</v>
      </c>
      <c r="C591" t="s">
        <v>56</v>
      </c>
      <c r="D591" t="s">
        <v>32</v>
      </c>
      <c r="E591" t="s">
        <v>116</v>
      </c>
      <c r="F591" t="s">
        <v>25</v>
      </c>
      <c r="G591" t="s">
        <v>26</v>
      </c>
      <c r="H591" t="s">
        <v>27</v>
      </c>
      <c r="I591">
        <v>13907</v>
      </c>
      <c r="J591">
        <v>3</v>
      </c>
      <c r="K591" t="s">
        <v>20</v>
      </c>
      <c r="L591">
        <v>3628.69</v>
      </c>
      <c r="M591" t="str">
        <f t="shared" si="18"/>
        <v>May</v>
      </c>
      <c r="N591">
        <f t="shared" si="19"/>
        <v>2025</v>
      </c>
    </row>
    <row r="592" spans="1:14" x14ac:dyDescent="0.3">
      <c r="A592" t="s">
        <v>951</v>
      </c>
      <c r="B592" s="5">
        <v>45984</v>
      </c>
      <c r="C592" t="s">
        <v>31</v>
      </c>
      <c r="D592" t="s">
        <v>15</v>
      </c>
      <c r="E592" t="s">
        <v>16</v>
      </c>
      <c r="F592" t="s">
        <v>17</v>
      </c>
      <c r="G592" t="s">
        <v>76</v>
      </c>
      <c r="H592" t="s">
        <v>77</v>
      </c>
      <c r="I592">
        <v>18261</v>
      </c>
      <c r="J592">
        <v>5</v>
      </c>
      <c r="K592" t="s">
        <v>34</v>
      </c>
      <c r="L592">
        <v>3512.15</v>
      </c>
      <c r="M592" t="str">
        <f t="shared" si="18"/>
        <v>Nov</v>
      </c>
      <c r="N592">
        <f t="shared" si="19"/>
        <v>2025</v>
      </c>
    </row>
    <row r="593" spans="1:14" x14ac:dyDescent="0.3">
      <c r="A593" t="s">
        <v>952</v>
      </c>
      <c r="B593" s="5">
        <v>46019</v>
      </c>
      <c r="C593" t="s">
        <v>31</v>
      </c>
      <c r="D593" t="s">
        <v>32</v>
      </c>
      <c r="E593" t="s">
        <v>45</v>
      </c>
      <c r="F593" t="s">
        <v>25</v>
      </c>
      <c r="G593" t="s">
        <v>26</v>
      </c>
      <c r="H593" t="s">
        <v>27</v>
      </c>
      <c r="I593">
        <v>73896</v>
      </c>
      <c r="J593">
        <v>4</v>
      </c>
      <c r="K593" t="s">
        <v>34</v>
      </c>
      <c r="L593">
        <v>5942.72</v>
      </c>
      <c r="M593" t="str">
        <f t="shared" si="18"/>
        <v>Dec</v>
      </c>
      <c r="N593">
        <f t="shared" si="19"/>
        <v>2025</v>
      </c>
    </row>
    <row r="594" spans="1:14" x14ac:dyDescent="0.3">
      <c r="A594" t="s">
        <v>953</v>
      </c>
      <c r="B594" s="5">
        <v>45868</v>
      </c>
      <c r="C594" t="s">
        <v>121</v>
      </c>
      <c r="D594" t="s">
        <v>32</v>
      </c>
      <c r="E594" t="s">
        <v>45</v>
      </c>
      <c r="F594" t="s">
        <v>46</v>
      </c>
      <c r="G594" t="s">
        <v>87</v>
      </c>
      <c r="H594" t="s">
        <v>88</v>
      </c>
      <c r="I594">
        <v>8723</v>
      </c>
      <c r="J594">
        <v>4</v>
      </c>
      <c r="K594" t="s">
        <v>34</v>
      </c>
      <c r="L594">
        <v>1002.9</v>
      </c>
      <c r="M594" t="str">
        <f t="shared" si="18"/>
        <v>Jul</v>
      </c>
      <c r="N594">
        <f t="shared" si="19"/>
        <v>2025</v>
      </c>
    </row>
    <row r="595" spans="1:14" x14ac:dyDescent="0.3">
      <c r="A595" t="s">
        <v>954</v>
      </c>
      <c r="B595" s="5">
        <v>45958</v>
      </c>
      <c r="C595" t="s">
        <v>37</v>
      </c>
      <c r="D595" t="s">
        <v>15</v>
      </c>
      <c r="E595" t="s">
        <v>16</v>
      </c>
      <c r="F595" t="s">
        <v>46</v>
      </c>
      <c r="G595" t="s">
        <v>94</v>
      </c>
      <c r="H595" t="s">
        <v>95</v>
      </c>
      <c r="I595">
        <v>72735</v>
      </c>
      <c r="J595">
        <v>3</v>
      </c>
      <c r="K595" t="s">
        <v>34</v>
      </c>
      <c r="L595">
        <v>13125.17</v>
      </c>
      <c r="M595" t="str">
        <f t="shared" si="18"/>
        <v>Oct</v>
      </c>
      <c r="N595">
        <f t="shared" si="19"/>
        <v>2025</v>
      </c>
    </row>
    <row r="596" spans="1:14" x14ac:dyDescent="0.3">
      <c r="A596" t="s">
        <v>955</v>
      </c>
      <c r="B596" s="5">
        <v>45868</v>
      </c>
      <c r="C596" t="s">
        <v>121</v>
      </c>
      <c r="D596" t="s">
        <v>38</v>
      </c>
      <c r="E596" t="s">
        <v>67</v>
      </c>
      <c r="F596" t="s">
        <v>25</v>
      </c>
      <c r="G596" t="s">
        <v>26</v>
      </c>
      <c r="H596" t="s">
        <v>27</v>
      </c>
      <c r="I596">
        <v>19753</v>
      </c>
      <c r="J596">
        <v>3</v>
      </c>
      <c r="K596" t="s">
        <v>20</v>
      </c>
      <c r="L596">
        <v>3523.72</v>
      </c>
      <c r="M596" t="str">
        <f t="shared" si="18"/>
        <v>Jul</v>
      </c>
      <c r="N596">
        <f t="shared" si="19"/>
        <v>2025</v>
      </c>
    </row>
    <row r="597" spans="1:14" x14ac:dyDescent="0.3">
      <c r="A597" t="s">
        <v>956</v>
      </c>
      <c r="B597" s="5">
        <v>45660</v>
      </c>
      <c r="C597" t="s">
        <v>44</v>
      </c>
      <c r="D597" t="s">
        <v>23</v>
      </c>
      <c r="E597" t="s">
        <v>129</v>
      </c>
      <c r="F597" t="s">
        <v>17</v>
      </c>
      <c r="G597" t="s">
        <v>104</v>
      </c>
      <c r="H597" t="s">
        <v>105</v>
      </c>
      <c r="I597">
        <v>13118</v>
      </c>
      <c r="J597">
        <v>8</v>
      </c>
      <c r="K597" t="s">
        <v>34</v>
      </c>
      <c r="L597">
        <v>1225.07</v>
      </c>
      <c r="M597" t="str">
        <f t="shared" si="18"/>
        <v>Jan</v>
      </c>
      <c r="N597">
        <f t="shared" si="19"/>
        <v>2025</v>
      </c>
    </row>
    <row r="598" spans="1:14" x14ac:dyDescent="0.3">
      <c r="A598" t="s">
        <v>957</v>
      </c>
      <c r="B598" s="5">
        <v>45682</v>
      </c>
      <c r="C598" t="s">
        <v>91</v>
      </c>
      <c r="D598" t="s">
        <v>38</v>
      </c>
      <c r="E598" t="s">
        <v>39</v>
      </c>
      <c r="F598" t="s">
        <v>17</v>
      </c>
      <c r="G598" t="s">
        <v>76</v>
      </c>
      <c r="H598" t="s">
        <v>77</v>
      </c>
      <c r="I598">
        <v>19374</v>
      </c>
      <c r="J598">
        <v>3</v>
      </c>
      <c r="K598" t="s">
        <v>34</v>
      </c>
      <c r="L598">
        <v>3925.33</v>
      </c>
      <c r="M598" t="str">
        <f t="shared" si="18"/>
        <v>Jan</v>
      </c>
      <c r="N598">
        <f t="shared" si="19"/>
        <v>2025</v>
      </c>
    </row>
    <row r="599" spans="1:14" x14ac:dyDescent="0.3">
      <c r="A599" t="s">
        <v>958</v>
      </c>
      <c r="B599" s="5">
        <v>45691</v>
      </c>
      <c r="C599" t="s">
        <v>31</v>
      </c>
      <c r="D599" t="s">
        <v>15</v>
      </c>
      <c r="E599" t="s">
        <v>73</v>
      </c>
      <c r="F599" t="s">
        <v>25</v>
      </c>
      <c r="G599" t="s">
        <v>40</v>
      </c>
      <c r="H599" t="s">
        <v>41</v>
      </c>
      <c r="I599">
        <v>33689</v>
      </c>
      <c r="J599">
        <v>8</v>
      </c>
      <c r="K599" t="s">
        <v>53</v>
      </c>
      <c r="L599">
        <v>8125.43</v>
      </c>
      <c r="M599" t="str">
        <f t="shared" si="18"/>
        <v>Feb</v>
      </c>
      <c r="N599">
        <f t="shared" si="19"/>
        <v>2025</v>
      </c>
    </row>
    <row r="600" spans="1:14" x14ac:dyDescent="0.3">
      <c r="A600" t="s">
        <v>959</v>
      </c>
      <c r="B600" s="5">
        <v>45934</v>
      </c>
      <c r="C600" t="s">
        <v>44</v>
      </c>
      <c r="D600" t="s">
        <v>15</v>
      </c>
      <c r="E600" t="s">
        <v>154</v>
      </c>
      <c r="F600" t="s">
        <v>46</v>
      </c>
      <c r="G600" t="s">
        <v>47</v>
      </c>
      <c r="H600" t="s">
        <v>48</v>
      </c>
      <c r="I600">
        <v>8028</v>
      </c>
      <c r="J600">
        <v>3</v>
      </c>
      <c r="K600" t="s">
        <v>28</v>
      </c>
      <c r="L600">
        <v>2076.66</v>
      </c>
      <c r="M600" t="str">
        <f t="shared" si="18"/>
        <v>Oct</v>
      </c>
      <c r="N600">
        <f t="shared" si="19"/>
        <v>2025</v>
      </c>
    </row>
    <row r="601" spans="1:14" x14ac:dyDescent="0.3">
      <c r="A601" t="s">
        <v>961</v>
      </c>
      <c r="B601" s="5">
        <v>45988</v>
      </c>
      <c r="C601" t="s">
        <v>91</v>
      </c>
      <c r="D601" t="s">
        <v>23</v>
      </c>
      <c r="E601" t="s">
        <v>129</v>
      </c>
      <c r="F601" t="s">
        <v>25</v>
      </c>
      <c r="G601" t="s">
        <v>40</v>
      </c>
      <c r="H601" t="s">
        <v>41</v>
      </c>
      <c r="I601">
        <v>8413</v>
      </c>
      <c r="J601">
        <v>3</v>
      </c>
      <c r="K601" t="s">
        <v>34</v>
      </c>
      <c r="L601">
        <v>999.94</v>
      </c>
      <c r="M601" t="str">
        <f t="shared" si="18"/>
        <v>Nov</v>
      </c>
      <c r="N601">
        <f t="shared" si="19"/>
        <v>2025</v>
      </c>
    </row>
    <row r="602" spans="1:14" x14ac:dyDescent="0.3">
      <c r="A602" t="s">
        <v>962</v>
      </c>
      <c r="B602" s="5">
        <v>46018</v>
      </c>
      <c r="C602" t="s">
        <v>66</v>
      </c>
      <c r="D602" t="s">
        <v>15</v>
      </c>
      <c r="E602" t="s">
        <v>154</v>
      </c>
      <c r="F602" t="s">
        <v>25</v>
      </c>
      <c r="G602" t="s">
        <v>40</v>
      </c>
      <c r="H602" t="s">
        <v>41</v>
      </c>
      <c r="I602">
        <v>18429</v>
      </c>
      <c r="J602">
        <v>2</v>
      </c>
      <c r="K602" t="s">
        <v>28</v>
      </c>
      <c r="L602">
        <v>1686.02</v>
      </c>
      <c r="M602" t="str">
        <f t="shared" si="18"/>
        <v>Dec</v>
      </c>
      <c r="N602">
        <f t="shared" si="19"/>
        <v>2025</v>
      </c>
    </row>
    <row r="603" spans="1:14" x14ac:dyDescent="0.3">
      <c r="A603" t="s">
        <v>964</v>
      </c>
      <c r="B603" s="5">
        <v>45661</v>
      </c>
      <c r="C603" t="s">
        <v>56</v>
      </c>
      <c r="D603" t="s">
        <v>15</v>
      </c>
      <c r="E603" t="s">
        <v>16</v>
      </c>
      <c r="F603" t="s">
        <v>25</v>
      </c>
      <c r="G603" t="s">
        <v>57</v>
      </c>
      <c r="H603" t="s">
        <v>58</v>
      </c>
      <c r="I603">
        <v>42679</v>
      </c>
      <c r="J603">
        <v>1</v>
      </c>
      <c r="K603" t="s">
        <v>49</v>
      </c>
      <c r="L603">
        <v>10612.62</v>
      </c>
      <c r="M603" t="str">
        <f t="shared" si="18"/>
        <v>Jan</v>
      </c>
      <c r="N603">
        <f t="shared" si="19"/>
        <v>2025</v>
      </c>
    </row>
    <row r="604" spans="1:14" x14ac:dyDescent="0.3">
      <c r="A604" t="s">
        <v>965</v>
      </c>
      <c r="B604" s="5">
        <v>46022</v>
      </c>
      <c r="C604" t="s">
        <v>72</v>
      </c>
      <c r="D604" t="s">
        <v>23</v>
      </c>
      <c r="E604" t="s">
        <v>82</v>
      </c>
      <c r="F604" t="s">
        <v>17</v>
      </c>
      <c r="G604" t="s">
        <v>104</v>
      </c>
      <c r="H604" t="s">
        <v>105</v>
      </c>
      <c r="I604">
        <v>8340</v>
      </c>
      <c r="J604">
        <v>4</v>
      </c>
      <c r="K604" t="s">
        <v>49</v>
      </c>
      <c r="L604">
        <v>2191.39</v>
      </c>
      <c r="M604" t="str">
        <f t="shared" si="18"/>
        <v>Dec</v>
      </c>
      <c r="N604">
        <f t="shared" si="19"/>
        <v>2025</v>
      </c>
    </row>
    <row r="605" spans="1:14" x14ac:dyDescent="0.3">
      <c r="A605" t="s">
        <v>966</v>
      </c>
      <c r="B605" s="5">
        <v>45777</v>
      </c>
      <c r="C605" t="s">
        <v>56</v>
      </c>
      <c r="D605" t="s">
        <v>23</v>
      </c>
      <c r="E605" t="s">
        <v>82</v>
      </c>
      <c r="F605" t="s">
        <v>25</v>
      </c>
      <c r="G605" t="s">
        <v>40</v>
      </c>
      <c r="H605" t="s">
        <v>41</v>
      </c>
      <c r="I605">
        <v>30958</v>
      </c>
      <c r="J605">
        <v>9</v>
      </c>
      <c r="K605" t="s">
        <v>28</v>
      </c>
      <c r="L605">
        <v>2665.17</v>
      </c>
      <c r="M605" t="str">
        <f t="shared" si="18"/>
        <v>Apr</v>
      </c>
      <c r="N605">
        <f t="shared" si="19"/>
        <v>2025</v>
      </c>
    </row>
    <row r="606" spans="1:14" x14ac:dyDescent="0.3">
      <c r="A606" t="s">
        <v>967</v>
      </c>
      <c r="B606" s="5">
        <v>45876</v>
      </c>
      <c r="C606" t="s">
        <v>56</v>
      </c>
      <c r="D606" t="s">
        <v>15</v>
      </c>
      <c r="E606" t="s">
        <v>154</v>
      </c>
      <c r="F606" t="s">
        <v>46</v>
      </c>
      <c r="G606" t="s">
        <v>87</v>
      </c>
      <c r="H606" t="s">
        <v>88</v>
      </c>
      <c r="I606">
        <v>19938</v>
      </c>
      <c r="J606">
        <v>10</v>
      </c>
      <c r="K606" t="s">
        <v>49</v>
      </c>
      <c r="L606">
        <v>3509.37</v>
      </c>
      <c r="M606" t="str">
        <f t="shared" si="18"/>
        <v>Aug</v>
      </c>
      <c r="N606">
        <f t="shared" si="19"/>
        <v>2025</v>
      </c>
    </row>
    <row r="607" spans="1:14" x14ac:dyDescent="0.3">
      <c r="A607" t="s">
        <v>968</v>
      </c>
      <c r="B607" s="5">
        <v>45975</v>
      </c>
      <c r="C607" t="s">
        <v>66</v>
      </c>
      <c r="D607" t="s">
        <v>32</v>
      </c>
      <c r="E607" t="s">
        <v>33</v>
      </c>
      <c r="F607" t="s">
        <v>25</v>
      </c>
      <c r="G607" t="s">
        <v>40</v>
      </c>
      <c r="H607" t="s">
        <v>41</v>
      </c>
      <c r="I607">
        <v>1358</v>
      </c>
      <c r="J607">
        <v>10</v>
      </c>
      <c r="K607" t="s">
        <v>28</v>
      </c>
      <c r="L607">
        <v>154.08000000000001</v>
      </c>
      <c r="M607" t="str">
        <f t="shared" si="18"/>
        <v>Nov</v>
      </c>
      <c r="N607">
        <f t="shared" si="19"/>
        <v>2025</v>
      </c>
    </row>
    <row r="608" spans="1:14" x14ac:dyDescent="0.3">
      <c r="A608" t="s">
        <v>969</v>
      </c>
      <c r="B608" s="5">
        <v>45813</v>
      </c>
      <c r="C608" t="s">
        <v>72</v>
      </c>
      <c r="D608" t="s">
        <v>15</v>
      </c>
      <c r="E608" t="s">
        <v>154</v>
      </c>
      <c r="F608" t="s">
        <v>17</v>
      </c>
      <c r="G608" t="s">
        <v>76</v>
      </c>
      <c r="H608" t="s">
        <v>77</v>
      </c>
      <c r="I608">
        <v>26051</v>
      </c>
      <c r="J608">
        <v>9</v>
      </c>
      <c r="K608" t="s">
        <v>53</v>
      </c>
      <c r="L608">
        <v>4650.26</v>
      </c>
      <c r="M608" t="str">
        <f t="shared" si="18"/>
        <v>Jun</v>
      </c>
      <c r="N608">
        <f t="shared" si="19"/>
        <v>2025</v>
      </c>
    </row>
    <row r="609" spans="1:14" x14ac:dyDescent="0.3">
      <c r="A609" t="s">
        <v>970</v>
      </c>
      <c r="B609" s="5">
        <v>45981</v>
      </c>
      <c r="C609" t="s">
        <v>31</v>
      </c>
      <c r="D609" t="s">
        <v>15</v>
      </c>
      <c r="E609" t="s">
        <v>16</v>
      </c>
      <c r="F609" t="s">
        <v>17</v>
      </c>
      <c r="G609" t="s">
        <v>104</v>
      </c>
      <c r="H609" t="s">
        <v>105</v>
      </c>
      <c r="I609">
        <v>6510</v>
      </c>
      <c r="J609">
        <v>1</v>
      </c>
      <c r="K609" t="s">
        <v>49</v>
      </c>
      <c r="L609">
        <v>1320.01</v>
      </c>
      <c r="M609" t="str">
        <f t="shared" si="18"/>
        <v>Nov</v>
      </c>
      <c r="N609">
        <f t="shared" si="19"/>
        <v>2025</v>
      </c>
    </row>
    <row r="610" spans="1:14" x14ac:dyDescent="0.3">
      <c r="A610" t="s">
        <v>971</v>
      </c>
      <c r="B610" s="5">
        <v>45918</v>
      </c>
      <c r="C610" t="s">
        <v>91</v>
      </c>
      <c r="D610" t="s">
        <v>38</v>
      </c>
      <c r="E610" t="s">
        <v>39</v>
      </c>
      <c r="F610" t="s">
        <v>17</v>
      </c>
      <c r="G610" t="s">
        <v>18</v>
      </c>
      <c r="H610" t="s">
        <v>19</v>
      </c>
      <c r="I610">
        <v>51008</v>
      </c>
      <c r="J610">
        <v>10</v>
      </c>
      <c r="K610" t="s">
        <v>49</v>
      </c>
      <c r="L610">
        <v>11787.06</v>
      </c>
      <c r="M610" t="str">
        <f t="shared" si="18"/>
        <v>Sep</v>
      </c>
      <c r="N610">
        <f t="shared" si="19"/>
        <v>2025</v>
      </c>
    </row>
    <row r="611" spans="1:14" x14ac:dyDescent="0.3">
      <c r="A611" t="s">
        <v>972</v>
      </c>
      <c r="B611" s="5">
        <v>45687</v>
      </c>
      <c r="C611" t="s">
        <v>121</v>
      </c>
      <c r="D611" t="s">
        <v>23</v>
      </c>
      <c r="E611" t="s">
        <v>82</v>
      </c>
      <c r="F611" t="s">
        <v>17</v>
      </c>
      <c r="G611" t="s">
        <v>76</v>
      </c>
      <c r="H611" t="s">
        <v>77</v>
      </c>
      <c r="I611">
        <v>33580</v>
      </c>
      <c r="J611">
        <v>7</v>
      </c>
      <c r="K611" t="s">
        <v>49</v>
      </c>
      <c r="L611">
        <v>6622.65</v>
      </c>
      <c r="M611" t="str">
        <f t="shared" si="18"/>
        <v>Jan</v>
      </c>
      <c r="N611">
        <f t="shared" si="19"/>
        <v>2025</v>
      </c>
    </row>
    <row r="612" spans="1:14" x14ac:dyDescent="0.3">
      <c r="A612" t="s">
        <v>973</v>
      </c>
      <c r="B612" s="5">
        <v>46016</v>
      </c>
      <c r="C612" t="s">
        <v>56</v>
      </c>
      <c r="D612" t="s">
        <v>23</v>
      </c>
      <c r="E612" t="s">
        <v>24</v>
      </c>
      <c r="F612" t="s">
        <v>25</v>
      </c>
      <c r="G612" t="s">
        <v>26</v>
      </c>
      <c r="H612" t="s">
        <v>27</v>
      </c>
      <c r="I612">
        <v>31250</v>
      </c>
      <c r="J612">
        <v>4</v>
      </c>
      <c r="K612" t="s">
        <v>49</v>
      </c>
      <c r="L612">
        <v>5055.0600000000004</v>
      </c>
      <c r="M612" t="str">
        <f t="shared" si="18"/>
        <v>Dec</v>
      </c>
      <c r="N612">
        <f t="shared" si="19"/>
        <v>2025</v>
      </c>
    </row>
    <row r="613" spans="1:14" x14ac:dyDescent="0.3">
      <c r="A613" t="s">
        <v>974</v>
      </c>
      <c r="B613" s="5">
        <v>45922</v>
      </c>
      <c r="C613" t="s">
        <v>121</v>
      </c>
      <c r="D613" t="s">
        <v>38</v>
      </c>
      <c r="E613" t="s">
        <v>67</v>
      </c>
      <c r="F613" t="s">
        <v>46</v>
      </c>
      <c r="G613" t="s">
        <v>94</v>
      </c>
      <c r="H613" t="s">
        <v>95</v>
      </c>
      <c r="I613">
        <v>4550</v>
      </c>
      <c r="J613">
        <v>3</v>
      </c>
      <c r="K613" t="s">
        <v>34</v>
      </c>
      <c r="L613">
        <v>908.83</v>
      </c>
      <c r="M613" t="str">
        <f t="shared" si="18"/>
        <v>Sep</v>
      </c>
      <c r="N613">
        <f t="shared" si="19"/>
        <v>2025</v>
      </c>
    </row>
    <row r="614" spans="1:14" x14ac:dyDescent="0.3">
      <c r="A614" t="s">
        <v>975</v>
      </c>
      <c r="B614" s="5">
        <v>45675</v>
      </c>
      <c r="C614" t="s">
        <v>63</v>
      </c>
      <c r="D614" t="s">
        <v>38</v>
      </c>
      <c r="E614" t="s">
        <v>67</v>
      </c>
      <c r="F614" t="s">
        <v>17</v>
      </c>
      <c r="G614" t="s">
        <v>76</v>
      </c>
      <c r="H614" t="s">
        <v>77</v>
      </c>
      <c r="I614">
        <v>14048</v>
      </c>
      <c r="J614">
        <v>2</v>
      </c>
      <c r="K614" t="s">
        <v>28</v>
      </c>
      <c r="L614">
        <v>2080.37</v>
      </c>
      <c r="M614" t="str">
        <f t="shared" si="18"/>
        <v>Jan</v>
      </c>
      <c r="N614">
        <f t="shared" si="19"/>
        <v>2025</v>
      </c>
    </row>
    <row r="615" spans="1:14" x14ac:dyDescent="0.3">
      <c r="A615" t="s">
        <v>976</v>
      </c>
      <c r="B615" s="5">
        <v>45703</v>
      </c>
      <c r="C615" t="s">
        <v>31</v>
      </c>
      <c r="D615" t="s">
        <v>38</v>
      </c>
      <c r="E615" t="s">
        <v>52</v>
      </c>
      <c r="F615" t="s">
        <v>25</v>
      </c>
      <c r="G615" t="s">
        <v>57</v>
      </c>
      <c r="H615" t="s">
        <v>58</v>
      </c>
      <c r="I615">
        <v>52512</v>
      </c>
      <c r="J615">
        <v>3</v>
      </c>
      <c r="K615" t="s">
        <v>49</v>
      </c>
      <c r="L615">
        <v>12058.25</v>
      </c>
      <c r="M615" t="str">
        <f t="shared" si="18"/>
        <v>Feb</v>
      </c>
      <c r="N615">
        <f t="shared" si="19"/>
        <v>2025</v>
      </c>
    </row>
    <row r="616" spans="1:14" x14ac:dyDescent="0.3">
      <c r="A616" t="s">
        <v>977</v>
      </c>
      <c r="B616" s="5">
        <v>45918</v>
      </c>
      <c r="C616" t="s">
        <v>91</v>
      </c>
      <c r="D616" t="s">
        <v>23</v>
      </c>
      <c r="E616" t="s">
        <v>129</v>
      </c>
      <c r="F616" t="s">
        <v>46</v>
      </c>
      <c r="G616" t="s">
        <v>87</v>
      </c>
      <c r="H616" t="s">
        <v>88</v>
      </c>
      <c r="I616">
        <v>24546</v>
      </c>
      <c r="J616">
        <v>5</v>
      </c>
      <c r="K616" t="s">
        <v>20</v>
      </c>
      <c r="L616">
        <v>6400.89</v>
      </c>
      <c r="M616" t="str">
        <f t="shared" si="18"/>
        <v>Sep</v>
      </c>
      <c r="N616">
        <f t="shared" si="19"/>
        <v>2025</v>
      </c>
    </row>
    <row r="617" spans="1:14" x14ac:dyDescent="0.3">
      <c r="A617" t="s">
        <v>978</v>
      </c>
      <c r="B617" s="5">
        <v>45837</v>
      </c>
      <c r="C617" t="s">
        <v>31</v>
      </c>
      <c r="D617" t="s">
        <v>32</v>
      </c>
      <c r="E617" t="s">
        <v>33</v>
      </c>
      <c r="F617" t="s">
        <v>17</v>
      </c>
      <c r="G617" t="s">
        <v>18</v>
      </c>
      <c r="H617" t="s">
        <v>19</v>
      </c>
      <c r="I617">
        <v>77717</v>
      </c>
      <c r="J617">
        <v>3</v>
      </c>
      <c r="K617" t="s">
        <v>28</v>
      </c>
      <c r="L617">
        <v>15277.87</v>
      </c>
      <c r="M617" t="str">
        <f t="shared" si="18"/>
        <v>Jun</v>
      </c>
      <c r="N617">
        <f t="shared" si="19"/>
        <v>2025</v>
      </c>
    </row>
    <row r="618" spans="1:14" x14ac:dyDescent="0.3">
      <c r="A618" t="s">
        <v>979</v>
      </c>
      <c r="B618" s="5">
        <v>45992</v>
      </c>
      <c r="C618" t="s">
        <v>31</v>
      </c>
      <c r="D618" t="s">
        <v>23</v>
      </c>
      <c r="E618" t="s">
        <v>129</v>
      </c>
      <c r="F618" t="s">
        <v>25</v>
      </c>
      <c r="G618" t="s">
        <v>26</v>
      </c>
      <c r="H618" t="s">
        <v>27</v>
      </c>
      <c r="I618">
        <v>26869</v>
      </c>
      <c r="J618">
        <v>6</v>
      </c>
      <c r="K618" t="s">
        <v>28</v>
      </c>
      <c r="L618">
        <v>6667.94</v>
      </c>
      <c r="M618" t="str">
        <f t="shared" si="18"/>
        <v>Dec</v>
      </c>
      <c r="N618">
        <f t="shared" si="19"/>
        <v>2025</v>
      </c>
    </row>
    <row r="619" spans="1:14" x14ac:dyDescent="0.3">
      <c r="A619" t="s">
        <v>980</v>
      </c>
      <c r="B619" s="5">
        <v>45877</v>
      </c>
      <c r="C619" t="s">
        <v>14</v>
      </c>
      <c r="D619" t="s">
        <v>23</v>
      </c>
      <c r="E619" t="s">
        <v>82</v>
      </c>
      <c r="F619" t="s">
        <v>17</v>
      </c>
      <c r="G619" t="s">
        <v>104</v>
      </c>
      <c r="H619" t="s">
        <v>105</v>
      </c>
      <c r="I619">
        <v>55909</v>
      </c>
      <c r="J619">
        <v>7</v>
      </c>
      <c r="K619" t="s">
        <v>53</v>
      </c>
      <c r="L619">
        <v>7908.21</v>
      </c>
      <c r="M619" t="str">
        <f t="shared" si="18"/>
        <v>Aug</v>
      </c>
      <c r="N619">
        <f t="shared" si="19"/>
        <v>2025</v>
      </c>
    </row>
    <row r="620" spans="1:14" x14ac:dyDescent="0.3">
      <c r="A620" t="s">
        <v>981</v>
      </c>
      <c r="B620" s="5">
        <v>45925</v>
      </c>
      <c r="C620" t="s">
        <v>37</v>
      </c>
      <c r="D620" t="s">
        <v>23</v>
      </c>
      <c r="E620" t="s">
        <v>24</v>
      </c>
      <c r="F620" t="s">
        <v>25</v>
      </c>
      <c r="G620" t="s">
        <v>26</v>
      </c>
      <c r="H620" t="s">
        <v>27</v>
      </c>
      <c r="I620">
        <v>2808</v>
      </c>
      <c r="J620">
        <v>5</v>
      </c>
      <c r="K620" t="s">
        <v>49</v>
      </c>
      <c r="L620">
        <v>644.70000000000005</v>
      </c>
      <c r="M620" t="str">
        <f t="shared" si="18"/>
        <v>Sep</v>
      </c>
      <c r="N620">
        <f t="shared" si="19"/>
        <v>2025</v>
      </c>
    </row>
    <row r="621" spans="1:14" x14ac:dyDescent="0.3">
      <c r="A621" t="s">
        <v>982</v>
      </c>
      <c r="B621" s="5">
        <v>45912</v>
      </c>
      <c r="C621" t="s">
        <v>14</v>
      </c>
      <c r="D621" t="s">
        <v>23</v>
      </c>
      <c r="E621" t="s">
        <v>82</v>
      </c>
      <c r="F621" t="s">
        <v>17</v>
      </c>
      <c r="G621" t="s">
        <v>18</v>
      </c>
      <c r="H621" t="s">
        <v>19</v>
      </c>
      <c r="I621">
        <v>618</v>
      </c>
      <c r="J621">
        <v>7</v>
      </c>
      <c r="K621" t="s">
        <v>34</v>
      </c>
      <c r="L621">
        <v>155.19</v>
      </c>
      <c r="M621" t="str">
        <f t="shared" si="18"/>
        <v>Sep</v>
      </c>
      <c r="N621">
        <f t="shared" si="19"/>
        <v>2025</v>
      </c>
    </row>
    <row r="622" spans="1:14" x14ac:dyDescent="0.3">
      <c r="A622" t="s">
        <v>983</v>
      </c>
      <c r="B622" s="5">
        <v>45804</v>
      </c>
      <c r="C622" t="s">
        <v>72</v>
      </c>
      <c r="D622" t="s">
        <v>32</v>
      </c>
      <c r="E622" t="s">
        <v>33</v>
      </c>
      <c r="F622" t="s">
        <v>17</v>
      </c>
      <c r="G622" t="s">
        <v>76</v>
      </c>
      <c r="H622" t="s">
        <v>77</v>
      </c>
      <c r="I622">
        <v>29454</v>
      </c>
      <c r="J622">
        <v>8</v>
      </c>
      <c r="K622" t="s">
        <v>28</v>
      </c>
      <c r="L622">
        <v>6630.95</v>
      </c>
      <c r="M622" t="str">
        <f t="shared" si="18"/>
        <v>May</v>
      </c>
      <c r="N622">
        <f t="shared" si="19"/>
        <v>2025</v>
      </c>
    </row>
    <row r="623" spans="1:14" x14ac:dyDescent="0.3">
      <c r="A623" t="s">
        <v>984</v>
      </c>
      <c r="B623" s="5">
        <v>45796</v>
      </c>
      <c r="C623" t="s">
        <v>37</v>
      </c>
      <c r="D623" t="s">
        <v>23</v>
      </c>
      <c r="E623" t="s">
        <v>24</v>
      </c>
      <c r="F623" t="s">
        <v>46</v>
      </c>
      <c r="G623" t="s">
        <v>47</v>
      </c>
      <c r="H623" t="s">
        <v>48</v>
      </c>
      <c r="I623">
        <v>53972</v>
      </c>
      <c r="J623">
        <v>3</v>
      </c>
      <c r="K623" t="s">
        <v>28</v>
      </c>
      <c r="L623">
        <v>12202.26</v>
      </c>
      <c r="M623" t="str">
        <f t="shared" si="18"/>
        <v>May</v>
      </c>
      <c r="N623">
        <f t="shared" si="19"/>
        <v>2025</v>
      </c>
    </row>
    <row r="624" spans="1:14" x14ac:dyDescent="0.3">
      <c r="A624" t="s">
        <v>986</v>
      </c>
      <c r="B624" s="5">
        <v>45721</v>
      </c>
      <c r="C624" t="s">
        <v>37</v>
      </c>
      <c r="D624" t="s">
        <v>23</v>
      </c>
      <c r="E624" t="s">
        <v>24</v>
      </c>
      <c r="F624" t="s">
        <v>25</v>
      </c>
      <c r="G624" t="s">
        <v>40</v>
      </c>
      <c r="H624" t="s">
        <v>41</v>
      </c>
      <c r="I624">
        <v>75184</v>
      </c>
      <c r="J624">
        <v>5</v>
      </c>
      <c r="K624" t="s">
        <v>28</v>
      </c>
      <c r="L624">
        <v>19478.46</v>
      </c>
      <c r="M624" t="str">
        <f t="shared" si="18"/>
        <v>Mar</v>
      </c>
      <c r="N624">
        <f t="shared" si="19"/>
        <v>2025</v>
      </c>
    </row>
    <row r="625" spans="1:14" x14ac:dyDescent="0.3">
      <c r="A625" t="s">
        <v>987</v>
      </c>
      <c r="B625" s="5">
        <v>45960</v>
      </c>
      <c r="C625" t="s">
        <v>37</v>
      </c>
      <c r="D625" t="s">
        <v>15</v>
      </c>
      <c r="E625" t="s">
        <v>16</v>
      </c>
      <c r="F625" t="s">
        <v>25</v>
      </c>
      <c r="G625" t="s">
        <v>26</v>
      </c>
      <c r="H625" t="s">
        <v>27</v>
      </c>
      <c r="I625">
        <v>78828</v>
      </c>
      <c r="J625">
        <v>6</v>
      </c>
      <c r="K625" t="s">
        <v>28</v>
      </c>
      <c r="L625">
        <v>12042.79</v>
      </c>
      <c r="M625" t="str">
        <f t="shared" si="18"/>
        <v>Oct</v>
      </c>
      <c r="N625">
        <f t="shared" si="19"/>
        <v>2025</v>
      </c>
    </row>
    <row r="626" spans="1:14" x14ac:dyDescent="0.3">
      <c r="A626" t="s">
        <v>989</v>
      </c>
      <c r="B626" s="5">
        <v>45824</v>
      </c>
      <c r="C626" t="s">
        <v>121</v>
      </c>
      <c r="D626" t="s">
        <v>38</v>
      </c>
      <c r="E626" t="s">
        <v>52</v>
      </c>
      <c r="F626" t="s">
        <v>46</v>
      </c>
      <c r="G626" t="s">
        <v>87</v>
      </c>
      <c r="H626" t="s">
        <v>88</v>
      </c>
      <c r="I626">
        <v>47497</v>
      </c>
      <c r="J626">
        <v>9</v>
      </c>
      <c r="K626" t="s">
        <v>20</v>
      </c>
      <c r="L626">
        <v>7523.26</v>
      </c>
      <c r="M626" t="str">
        <f t="shared" si="18"/>
        <v>Jun</v>
      </c>
      <c r="N626">
        <f t="shared" si="19"/>
        <v>2025</v>
      </c>
    </row>
    <row r="627" spans="1:14" x14ac:dyDescent="0.3">
      <c r="A627" t="s">
        <v>990</v>
      </c>
      <c r="B627" s="5">
        <v>45939</v>
      </c>
      <c r="C627" t="s">
        <v>56</v>
      </c>
      <c r="D627" t="s">
        <v>32</v>
      </c>
      <c r="E627" t="s">
        <v>116</v>
      </c>
      <c r="F627" t="s">
        <v>46</v>
      </c>
      <c r="G627" t="s">
        <v>47</v>
      </c>
      <c r="H627" t="s">
        <v>48</v>
      </c>
      <c r="I627">
        <v>70412</v>
      </c>
      <c r="J627">
        <v>3</v>
      </c>
      <c r="K627" t="s">
        <v>34</v>
      </c>
      <c r="L627">
        <v>11054.15</v>
      </c>
      <c r="M627" t="str">
        <f t="shared" si="18"/>
        <v>Oct</v>
      </c>
      <c r="N627">
        <f t="shared" si="19"/>
        <v>2025</v>
      </c>
    </row>
    <row r="628" spans="1:14" x14ac:dyDescent="0.3">
      <c r="A628" t="s">
        <v>991</v>
      </c>
      <c r="B628" s="5">
        <v>45939</v>
      </c>
      <c r="C628" t="s">
        <v>44</v>
      </c>
      <c r="D628" t="s">
        <v>38</v>
      </c>
      <c r="E628" t="s">
        <v>39</v>
      </c>
      <c r="F628" t="s">
        <v>25</v>
      </c>
      <c r="G628" t="s">
        <v>57</v>
      </c>
      <c r="H628" t="s">
        <v>58</v>
      </c>
      <c r="I628">
        <v>39641</v>
      </c>
      <c r="J628">
        <v>7</v>
      </c>
      <c r="K628" t="s">
        <v>20</v>
      </c>
      <c r="L628">
        <v>9325.51</v>
      </c>
      <c r="M628" t="str">
        <f t="shared" si="18"/>
        <v>Oct</v>
      </c>
      <c r="N628">
        <f t="shared" si="19"/>
        <v>2025</v>
      </c>
    </row>
    <row r="629" spans="1:14" x14ac:dyDescent="0.3">
      <c r="A629" t="s">
        <v>992</v>
      </c>
      <c r="B629" s="5">
        <v>45892</v>
      </c>
      <c r="C629" t="s">
        <v>66</v>
      </c>
      <c r="D629" t="s">
        <v>15</v>
      </c>
      <c r="E629" t="s">
        <v>154</v>
      </c>
      <c r="F629" t="s">
        <v>17</v>
      </c>
      <c r="G629" t="s">
        <v>18</v>
      </c>
      <c r="H629" t="s">
        <v>19</v>
      </c>
      <c r="I629">
        <v>5778</v>
      </c>
      <c r="J629">
        <v>1</v>
      </c>
      <c r="K629" t="s">
        <v>49</v>
      </c>
      <c r="L629">
        <v>601.27</v>
      </c>
      <c r="M629" t="str">
        <f t="shared" si="18"/>
        <v>Aug</v>
      </c>
      <c r="N629">
        <f t="shared" si="19"/>
        <v>2025</v>
      </c>
    </row>
    <row r="630" spans="1:14" x14ac:dyDescent="0.3">
      <c r="A630" t="s">
        <v>993</v>
      </c>
      <c r="B630" s="5">
        <v>45912</v>
      </c>
      <c r="C630" t="s">
        <v>66</v>
      </c>
      <c r="D630" t="s">
        <v>38</v>
      </c>
      <c r="E630" t="s">
        <v>39</v>
      </c>
      <c r="F630" t="s">
        <v>17</v>
      </c>
      <c r="G630" t="s">
        <v>104</v>
      </c>
      <c r="H630" t="s">
        <v>105</v>
      </c>
      <c r="I630">
        <v>45540</v>
      </c>
      <c r="J630">
        <v>4</v>
      </c>
      <c r="K630" t="s">
        <v>53</v>
      </c>
      <c r="L630">
        <v>11488.21</v>
      </c>
      <c r="M630" t="str">
        <f t="shared" si="18"/>
        <v>Sep</v>
      </c>
      <c r="N630">
        <f t="shared" si="19"/>
        <v>2025</v>
      </c>
    </row>
    <row r="631" spans="1:14" x14ac:dyDescent="0.3">
      <c r="A631" t="s">
        <v>994</v>
      </c>
      <c r="B631" s="5">
        <v>45941</v>
      </c>
      <c r="C631" t="s">
        <v>44</v>
      </c>
      <c r="D631" t="s">
        <v>23</v>
      </c>
      <c r="E631" t="s">
        <v>82</v>
      </c>
      <c r="F631" t="s">
        <v>25</v>
      </c>
      <c r="G631" t="s">
        <v>26</v>
      </c>
      <c r="H631" t="s">
        <v>27</v>
      </c>
      <c r="I631">
        <v>34763</v>
      </c>
      <c r="J631">
        <v>1</v>
      </c>
      <c r="K631" t="s">
        <v>34</v>
      </c>
      <c r="L631">
        <v>2624.62</v>
      </c>
      <c r="M631" t="str">
        <f t="shared" si="18"/>
        <v>Oct</v>
      </c>
      <c r="N631">
        <f t="shared" si="19"/>
        <v>2025</v>
      </c>
    </row>
    <row r="632" spans="1:14" x14ac:dyDescent="0.3">
      <c r="A632" t="s">
        <v>995</v>
      </c>
      <c r="B632" s="5">
        <v>45712</v>
      </c>
      <c r="C632" t="s">
        <v>72</v>
      </c>
      <c r="D632" t="s">
        <v>38</v>
      </c>
      <c r="E632" t="s">
        <v>39</v>
      </c>
      <c r="F632" t="s">
        <v>25</v>
      </c>
      <c r="G632" t="s">
        <v>26</v>
      </c>
      <c r="H632" t="s">
        <v>27</v>
      </c>
      <c r="I632">
        <v>53810</v>
      </c>
      <c r="J632">
        <v>6</v>
      </c>
      <c r="K632" t="s">
        <v>53</v>
      </c>
      <c r="L632">
        <v>11538.38</v>
      </c>
      <c r="M632" t="str">
        <f t="shared" si="18"/>
        <v>Feb</v>
      </c>
      <c r="N632">
        <f t="shared" si="19"/>
        <v>2025</v>
      </c>
    </row>
    <row r="633" spans="1:14" x14ac:dyDescent="0.3">
      <c r="A633" t="s">
        <v>996</v>
      </c>
      <c r="B633" s="5">
        <v>45930</v>
      </c>
      <c r="C633" t="s">
        <v>121</v>
      </c>
      <c r="D633" t="s">
        <v>38</v>
      </c>
      <c r="E633" t="s">
        <v>67</v>
      </c>
      <c r="F633" t="s">
        <v>46</v>
      </c>
      <c r="G633" t="s">
        <v>94</v>
      </c>
      <c r="H633" t="s">
        <v>95</v>
      </c>
      <c r="I633">
        <v>28569</v>
      </c>
      <c r="J633">
        <v>6</v>
      </c>
      <c r="K633" t="s">
        <v>34</v>
      </c>
      <c r="L633">
        <v>3996.09</v>
      </c>
      <c r="M633" t="str">
        <f t="shared" si="18"/>
        <v>Sep</v>
      </c>
      <c r="N633">
        <f t="shared" si="19"/>
        <v>2025</v>
      </c>
    </row>
    <row r="634" spans="1:14" x14ac:dyDescent="0.3">
      <c r="A634" t="s">
        <v>997</v>
      </c>
      <c r="B634" s="5">
        <v>45736</v>
      </c>
      <c r="C634" t="s">
        <v>72</v>
      </c>
      <c r="D634" t="s">
        <v>38</v>
      </c>
      <c r="E634" t="s">
        <v>39</v>
      </c>
      <c r="F634" t="s">
        <v>46</v>
      </c>
      <c r="G634" t="s">
        <v>47</v>
      </c>
      <c r="H634" t="s">
        <v>48</v>
      </c>
      <c r="I634">
        <v>10439</v>
      </c>
      <c r="J634">
        <v>5</v>
      </c>
      <c r="K634" t="s">
        <v>49</v>
      </c>
      <c r="L634">
        <v>1764.05</v>
      </c>
      <c r="M634" t="str">
        <f t="shared" si="18"/>
        <v>Mar</v>
      </c>
      <c r="N634">
        <f t="shared" si="19"/>
        <v>2025</v>
      </c>
    </row>
    <row r="635" spans="1:14" x14ac:dyDescent="0.3">
      <c r="A635" t="s">
        <v>998</v>
      </c>
      <c r="B635" s="5">
        <v>46003</v>
      </c>
      <c r="C635" t="s">
        <v>91</v>
      </c>
      <c r="D635" t="s">
        <v>15</v>
      </c>
      <c r="E635" t="s">
        <v>73</v>
      </c>
      <c r="F635" t="s">
        <v>46</v>
      </c>
      <c r="G635" t="s">
        <v>47</v>
      </c>
      <c r="H635" t="s">
        <v>48</v>
      </c>
      <c r="I635">
        <v>51222</v>
      </c>
      <c r="J635">
        <v>6</v>
      </c>
      <c r="K635" t="s">
        <v>20</v>
      </c>
      <c r="L635">
        <v>13672.52</v>
      </c>
      <c r="M635" t="str">
        <f t="shared" si="18"/>
        <v>Dec</v>
      </c>
      <c r="N635">
        <f t="shared" si="19"/>
        <v>2025</v>
      </c>
    </row>
    <row r="636" spans="1:14" x14ac:dyDescent="0.3">
      <c r="A636" t="s">
        <v>999</v>
      </c>
      <c r="B636" s="5">
        <v>45668</v>
      </c>
      <c r="C636" t="s">
        <v>31</v>
      </c>
      <c r="D636" t="s">
        <v>15</v>
      </c>
      <c r="E636" t="s">
        <v>73</v>
      </c>
      <c r="F636" t="s">
        <v>25</v>
      </c>
      <c r="G636" t="s">
        <v>26</v>
      </c>
      <c r="H636" t="s">
        <v>27</v>
      </c>
      <c r="I636">
        <v>54590</v>
      </c>
      <c r="J636">
        <v>9</v>
      </c>
      <c r="K636" t="s">
        <v>53</v>
      </c>
      <c r="L636">
        <v>10352.26</v>
      </c>
      <c r="M636" t="str">
        <f t="shared" si="18"/>
        <v>Jan</v>
      </c>
      <c r="N636">
        <f t="shared" si="19"/>
        <v>2025</v>
      </c>
    </row>
    <row r="637" spans="1:14" x14ac:dyDescent="0.3">
      <c r="A637" t="s">
        <v>1000</v>
      </c>
      <c r="B637" s="5">
        <v>45774</v>
      </c>
      <c r="C637" t="s">
        <v>91</v>
      </c>
      <c r="D637" t="s">
        <v>15</v>
      </c>
      <c r="E637" t="s">
        <v>16</v>
      </c>
      <c r="F637" t="s">
        <v>46</v>
      </c>
      <c r="G637" t="s">
        <v>87</v>
      </c>
      <c r="H637" t="s">
        <v>88</v>
      </c>
      <c r="I637">
        <v>16922</v>
      </c>
      <c r="J637">
        <v>9</v>
      </c>
      <c r="K637" t="s">
        <v>49</v>
      </c>
      <c r="L637">
        <v>2773.8</v>
      </c>
      <c r="M637" t="str">
        <f t="shared" si="18"/>
        <v>Apr</v>
      </c>
      <c r="N637">
        <f t="shared" si="19"/>
        <v>2025</v>
      </c>
    </row>
    <row r="638" spans="1:14" x14ac:dyDescent="0.3">
      <c r="A638" t="s">
        <v>1001</v>
      </c>
      <c r="B638" s="5">
        <v>45890</v>
      </c>
      <c r="C638" t="s">
        <v>44</v>
      </c>
      <c r="D638" t="s">
        <v>23</v>
      </c>
      <c r="E638" t="s">
        <v>24</v>
      </c>
      <c r="F638" t="s">
        <v>17</v>
      </c>
      <c r="G638" t="s">
        <v>76</v>
      </c>
      <c r="H638" t="s">
        <v>77</v>
      </c>
      <c r="I638">
        <v>72186</v>
      </c>
      <c r="J638">
        <v>6</v>
      </c>
      <c r="K638" t="s">
        <v>28</v>
      </c>
      <c r="L638">
        <v>15324.02</v>
      </c>
      <c r="M638" t="str">
        <f t="shared" si="18"/>
        <v>Aug</v>
      </c>
      <c r="N638">
        <f t="shared" si="19"/>
        <v>2025</v>
      </c>
    </row>
    <row r="639" spans="1:14" x14ac:dyDescent="0.3">
      <c r="A639" t="s">
        <v>1002</v>
      </c>
      <c r="B639" s="5">
        <v>45958</v>
      </c>
      <c r="C639" t="s">
        <v>37</v>
      </c>
      <c r="D639" t="s">
        <v>38</v>
      </c>
      <c r="E639" t="s">
        <v>52</v>
      </c>
      <c r="F639" t="s">
        <v>17</v>
      </c>
      <c r="G639" t="s">
        <v>104</v>
      </c>
      <c r="H639" t="s">
        <v>105</v>
      </c>
      <c r="I639">
        <v>62163</v>
      </c>
      <c r="J639">
        <v>8</v>
      </c>
      <c r="K639" t="s">
        <v>20</v>
      </c>
      <c r="L639">
        <v>13768.4</v>
      </c>
      <c r="M639" t="str">
        <f t="shared" si="18"/>
        <v>Oct</v>
      </c>
      <c r="N639">
        <f t="shared" si="19"/>
        <v>2025</v>
      </c>
    </row>
    <row r="640" spans="1:14" x14ac:dyDescent="0.3">
      <c r="A640" t="s">
        <v>1003</v>
      </c>
      <c r="B640" s="5">
        <v>45813</v>
      </c>
      <c r="C640" t="s">
        <v>121</v>
      </c>
      <c r="D640" t="s">
        <v>15</v>
      </c>
      <c r="E640" t="s">
        <v>73</v>
      </c>
      <c r="F640" t="s">
        <v>25</v>
      </c>
      <c r="G640" t="s">
        <v>40</v>
      </c>
      <c r="H640" t="s">
        <v>41</v>
      </c>
      <c r="I640">
        <v>77966</v>
      </c>
      <c r="J640">
        <v>1</v>
      </c>
      <c r="K640" t="s">
        <v>49</v>
      </c>
      <c r="L640">
        <v>12550.5</v>
      </c>
      <c r="M640" t="str">
        <f t="shared" si="18"/>
        <v>Jun</v>
      </c>
      <c r="N640">
        <f t="shared" si="19"/>
        <v>2025</v>
      </c>
    </row>
    <row r="641" spans="1:14" x14ac:dyDescent="0.3">
      <c r="A641" t="s">
        <v>1004</v>
      </c>
      <c r="B641" s="5">
        <v>45722</v>
      </c>
      <c r="C641" t="s">
        <v>66</v>
      </c>
      <c r="D641" t="s">
        <v>38</v>
      </c>
      <c r="E641" t="s">
        <v>67</v>
      </c>
      <c r="F641" t="s">
        <v>17</v>
      </c>
      <c r="G641" t="s">
        <v>18</v>
      </c>
      <c r="H641" t="s">
        <v>19</v>
      </c>
      <c r="I641">
        <v>10099</v>
      </c>
      <c r="J641">
        <v>9</v>
      </c>
      <c r="K641" t="s">
        <v>28</v>
      </c>
      <c r="L641">
        <v>941.37</v>
      </c>
      <c r="M641" t="str">
        <f t="shared" si="18"/>
        <v>Mar</v>
      </c>
      <c r="N641">
        <f t="shared" si="19"/>
        <v>2025</v>
      </c>
    </row>
    <row r="642" spans="1:14" x14ac:dyDescent="0.3">
      <c r="A642" t="s">
        <v>1005</v>
      </c>
      <c r="B642" s="5">
        <v>45737</v>
      </c>
      <c r="C642" t="s">
        <v>72</v>
      </c>
      <c r="D642" t="s">
        <v>32</v>
      </c>
      <c r="E642" t="s">
        <v>116</v>
      </c>
      <c r="F642" t="s">
        <v>25</v>
      </c>
      <c r="G642" t="s">
        <v>57</v>
      </c>
      <c r="H642" t="s">
        <v>58</v>
      </c>
      <c r="I642">
        <v>48144</v>
      </c>
      <c r="J642">
        <v>3</v>
      </c>
      <c r="K642" t="s">
        <v>34</v>
      </c>
      <c r="L642">
        <v>5120.8999999999996</v>
      </c>
      <c r="M642" t="str">
        <f t="shared" si="18"/>
        <v>Mar</v>
      </c>
      <c r="N642">
        <f t="shared" si="19"/>
        <v>2025</v>
      </c>
    </row>
    <row r="643" spans="1:14" x14ac:dyDescent="0.3">
      <c r="A643" t="s">
        <v>1006</v>
      </c>
      <c r="B643" s="5">
        <v>45720</v>
      </c>
      <c r="C643" t="s">
        <v>37</v>
      </c>
      <c r="D643" t="s">
        <v>23</v>
      </c>
      <c r="E643" t="s">
        <v>82</v>
      </c>
      <c r="F643" t="s">
        <v>46</v>
      </c>
      <c r="G643" t="s">
        <v>47</v>
      </c>
      <c r="H643" t="s">
        <v>48</v>
      </c>
      <c r="I643">
        <v>20614</v>
      </c>
      <c r="J643">
        <v>3</v>
      </c>
      <c r="K643" t="s">
        <v>20</v>
      </c>
      <c r="L643">
        <v>4674.57</v>
      </c>
      <c r="M643" t="str">
        <f t="shared" ref="M643:M706" si="20">TEXT(B643,"mmm")</f>
        <v>Mar</v>
      </c>
      <c r="N643">
        <f t="shared" ref="N643:N706" si="21">YEAR(B643)</f>
        <v>2025</v>
      </c>
    </row>
    <row r="644" spans="1:14" x14ac:dyDescent="0.3">
      <c r="A644" t="s">
        <v>1007</v>
      </c>
      <c r="B644" s="5">
        <v>45804</v>
      </c>
      <c r="C644" t="s">
        <v>63</v>
      </c>
      <c r="D644" t="s">
        <v>32</v>
      </c>
      <c r="E644" t="s">
        <v>45</v>
      </c>
      <c r="F644" t="s">
        <v>46</v>
      </c>
      <c r="G644" t="s">
        <v>87</v>
      </c>
      <c r="H644" t="s">
        <v>88</v>
      </c>
      <c r="I644">
        <v>62617</v>
      </c>
      <c r="J644">
        <v>2</v>
      </c>
      <c r="K644" t="s">
        <v>49</v>
      </c>
      <c r="L644">
        <v>15035.34</v>
      </c>
      <c r="M644" t="str">
        <f t="shared" si="20"/>
        <v>May</v>
      </c>
      <c r="N644">
        <f t="shared" si="21"/>
        <v>2025</v>
      </c>
    </row>
    <row r="645" spans="1:14" x14ac:dyDescent="0.3">
      <c r="A645" t="s">
        <v>1008</v>
      </c>
      <c r="B645" s="5">
        <v>45956</v>
      </c>
      <c r="C645" t="s">
        <v>44</v>
      </c>
      <c r="D645" t="s">
        <v>32</v>
      </c>
      <c r="E645" t="s">
        <v>45</v>
      </c>
      <c r="F645" t="s">
        <v>17</v>
      </c>
      <c r="G645" t="s">
        <v>18</v>
      </c>
      <c r="H645" t="s">
        <v>19</v>
      </c>
      <c r="I645">
        <v>592</v>
      </c>
      <c r="J645">
        <v>5</v>
      </c>
      <c r="K645" t="s">
        <v>20</v>
      </c>
      <c r="L645">
        <v>97.65</v>
      </c>
      <c r="M645" t="str">
        <f t="shared" si="20"/>
        <v>Oct</v>
      </c>
      <c r="N645">
        <f t="shared" si="21"/>
        <v>2025</v>
      </c>
    </row>
    <row r="646" spans="1:14" x14ac:dyDescent="0.3">
      <c r="A646" t="s">
        <v>1009</v>
      </c>
      <c r="B646" s="5">
        <v>46003</v>
      </c>
      <c r="C646" t="s">
        <v>14</v>
      </c>
      <c r="D646" t="s">
        <v>15</v>
      </c>
      <c r="E646" t="s">
        <v>73</v>
      </c>
      <c r="F646" t="s">
        <v>17</v>
      </c>
      <c r="G646" t="s">
        <v>104</v>
      </c>
      <c r="H646" t="s">
        <v>105</v>
      </c>
      <c r="I646">
        <v>4880</v>
      </c>
      <c r="J646">
        <v>10</v>
      </c>
      <c r="K646" t="s">
        <v>20</v>
      </c>
      <c r="L646">
        <v>1336.08</v>
      </c>
      <c r="M646" t="str">
        <f t="shared" si="20"/>
        <v>Dec</v>
      </c>
      <c r="N646">
        <f t="shared" si="21"/>
        <v>2025</v>
      </c>
    </row>
    <row r="647" spans="1:14" x14ac:dyDescent="0.3">
      <c r="A647" t="s">
        <v>1010</v>
      </c>
      <c r="B647" s="5">
        <v>45778</v>
      </c>
      <c r="C647" t="s">
        <v>91</v>
      </c>
      <c r="D647" t="s">
        <v>15</v>
      </c>
      <c r="E647" t="s">
        <v>154</v>
      </c>
      <c r="F647" t="s">
        <v>17</v>
      </c>
      <c r="G647" t="s">
        <v>76</v>
      </c>
      <c r="H647" t="s">
        <v>77</v>
      </c>
      <c r="I647">
        <v>7500</v>
      </c>
      <c r="J647">
        <v>7</v>
      </c>
      <c r="K647" t="s">
        <v>53</v>
      </c>
      <c r="L647">
        <v>872.61</v>
      </c>
      <c r="M647" t="str">
        <f t="shared" si="20"/>
        <v>May</v>
      </c>
      <c r="N647">
        <f t="shared" si="21"/>
        <v>2025</v>
      </c>
    </row>
    <row r="648" spans="1:14" x14ac:dyDescent="0.3">
      <c r="A648" t="s">
        <v>1011</v>
      </c>
      <c r="B648" s="5">
        <v>45763</v>
      </c>
      <c r="C648" t="s">
        <v>14</v>
      </c>
      <c r="D648" t="s">
        <v>15</v>
      </c>
      <c r="E648" t="s">
        <v>16</v>
      </c>
      <c r="F648" t="s">
        <v>17</v>
      </c>
      <c r="G648" t="s">
        <v>104</v>
      </c>
      <c r="H648" t="s">
        <v>105</v>
      </c>
      <c r="I648">
        <v>67393</v>
      </c>
      <c r="J648">
        <v>5</v>
      </c>
      <c r="K648" t="s">
        <v>53</v>
      </c>
      <c r="L648">
        <v>11293.19</v>
      </c>
      <c r="M648" t="str">
        <f t="shared" si="20"/>
        <v>Apr</v>
      </c>
      <c r="N648">
        <f t="shared" si="21"/>
        <v>2025</v>
      </c>
    </row>
    <row r="649" spans="1:14" x14ac:dyDescent="0.3">
      <c r="A649" t="s">
        <v>1012</v>
      </c>
      <c r="B649" s="5">
        <v>45837</v>
      </c>
      <c r="C649" t="s">
        <v>72</v>
      </c>
      <c r="D649" t="s">
        <v>38</v>
      </c>
      <c r="E649" t="s">
        <v>52</v>
      </c>
      <c r="F649" t="s">
        <v>25</v>
      </c>
      <c r="G649" t="s">
        <v>26</v>
      </c>
      <c r="H649" t="s">
        <v>27</v>
      </c>
      <c r="I649">
        <v>45618</v>
      </c>
      <c r="J649">
        <v>5</v>
      </c>
      <c r="K649" t="s">
        <v>49</v>
      </c>
      <c r="L649">
        <v>8375.33</v>
      </c>
      <c r="M649" t="str">
        <f t="shared" si="20"/>
        <v>Jun</v>
      </c>
      <c r="N649">
        <f t="shared" si="21"/>
        <v>2025</v>
      </c>
    </row>
    <row r="650" spans="1:14" x14ac:dyDescent="0.3">
      <c r="A650" t="s">
        <v>1013</v>
      </c>
      <c r="B650" s="5">
        <v>45732</v>
      </c>
      <c r="C650" t="s">
        <v>44</v>
      </c>
      <c r="D650" t="s">
        <v>38</v>
      </c>
      <c r="E650" t="s">
        <v>39</v>
      </c>
      <c r="F650" t="s">
        <v>46</v>
      </c>
      <c r="G650" t="s">
        <v>47</v>
      </c>
      <c r="H650" t="s">
        <v>48</v>
      </c>
      <c r="I650">
        <v>937</v>
      </c>
      <c r="J650">
        <v>4</v>
      </c>
      <c r="K650" t="s">
        <v>28</v>
      </c>
      <c r="L650">
        <v>207.82</v>
      </c>
      <c r="M650" t="str">
        <f t="shared" si="20"/>
        <v>Mar</v>
      </c>
      <c r="N650">
        <f t="shared" si="21"/>
        <v>2025</v>
      </c>
    </row>
    <row r="651" spans="1:14" x14ac:dyDescent="0.3">
      <c r="A651" t="s">
        <v>1015</v>
      </c>
      <c r="B651" s="5">
        <v>45826</v>
      </c>
      <c r="C651" t="s">
        <v>37</v>
      </c>
      <c r="D651" t="s">
        <v>38</v>
      </c>
      <c r="E651" t="s">
        <v>39</v>
      </c>
      <c r="F651" t="s">
        <v>17</v>
      </c>
      <c r="G651" t="s">
        <v>76</v>
      </c>
      <c r="H651" t="s">
        <v>77</v>
      </c>
      <c r="I651">
        <v>31746</v>
      </c>
      <c r="J651">
        <v>2</v>
      </c>
      <c r="K651" t="s">
        <v>28</v>
      </c>
      <c r="L651">
        <v>6368.28</v>
      </c>
      <c r="M651" t="str">
        <f t="shared" si="20"/>
        <v>Jun</v>
      </c>
      <c r="N651">
        <f t="shared" si="21"/>
        <v>2025</v>
      </c>
    </row>
    <row r="652" spans="1:14" x14ac:dyDescent="0.3">
      <c r="A652" t="s">
        <v>1016</v>
      </c>
      <c r="B652" s="5">
        <v>45759</v>
      </c>
      <c r="C652" t="s">
        <v>44</v>
      </c>
      <c r="D652" t="s">
        <v>38</v>
      </c>
      <c r="E652" t="s">
        <v>39</v>
      </c>
      <c r="F652" t="s">
        <v>17</v>
      </c>
      <c r="G652" t="s">
        <v>18</v>
      </c>
      <c r="H652" t="s">
        <v>19</v>
      </c>
      <c r="I652">
        <v>10443</v>
      </c>
      <c r="J652">
        <v>6</v>
      </c>
      <c r="K652" t="s">
        <v>20</v>
      </c>
      <c r="L652">
        <v>2900.27</v>
      </c>
      <c r="M652" t="str">
        <f t="shared" si="20"/>
        <v>Apr</v>
      </c>
      <c r="N652">
        <f t="shared" si="21"/>
        <v>2025</v>
      </c>
    </row>
    <row r="653" spans="1:14" x14ac:dyDescent="0.3">
      <c r="A653" t="s">
        <v>1017</v>
      </c>
      <c r="B653" s="5">
        <v>45940</v>
      </c>
      <c r="C653" t="s">
        <v>14</v>
      </c>
      <c r="D653" t="s">
        <v>32</v>
      </c>
      <c r="E653" t="s">
        <v>45</v>
      </c>
      <c r="F653" t="s">
        <v>17</v>
      </c>
      <c r="G653" t="s">
        <v>18</v>
      </c>
      <c r="H653" t="s">
        <v>19</v>
      </c>
      <c r="I653">
        <v>13448</v>
      </c>
      <c r="J653">
        <v>3</v>
      </c>
      <c r="K653" t="s">
        <v>34</v>
      </c>
      <c r="L653">
        <v>2882.81</v>
      </c>
      <c r="M653" t="str">
        <f t="shared" si="20"/>
        <v>Oct</v>
      </c>
      <c r="N653">
        <f t="shared" si="21"/>
        <v>2025</v>
      </c>
    </row>
    <row r="654" spans="1:14" x14ac:dyDescent="0.3">
      <c r="A654" t="s">
        <v>1018</v>
      </c>
      <c r="B654" s="5">
        <v>45798</v>
      </c>
      <c r="C654" t="s">
        <v>14</v>
      </c>
      <c r="D654" t="s">
        <v>38</v>
      </c>
      <c r="E654" t="s">
        <v>52</v>
      </c>
      <c r="F654" t="s">
        <v>46</v>
      </c>
      <c r="G654" t="s">
        <v>47</v>
      </c>
      <c r="H654" t="s">
        <v>48</v>
      </c>
      <c r="I654">
        <v>62249</v>
      </c>
      <c r="J654">
        <v>9</v>
      </c>
      <c r="K654" t="s">
        <v>34</v>
      </c>
      <c r="L654">
        <v>13065.05</v>
      </c>
      <c r="M654" t="str">
        <f t="shared" si="20"/>
        <v>May</v>
      </c>
      <c r="N654">
        <f t="shared" si="21"/>
        <v>2025</v>
      </c>
    </row>
    <row r="655" spans="1:14" x14ac:dyDescent="0.3">
      <c r="A655" t="s">
        <v>1019</v>
      </c>
      <c r="B655" s="5">
        <v>45793</v>
      </c>
      <c r="C655" t="s">
        <v>66</v>
      </c>
      <c r="D655" t="s">
        <v>38</v>
      </c>
      <c r="E655" t="s">
        <v>67</v>
      </c>
      <c r="F655" t="s">
        <v>46</v>
      </c>
      <c r="G655" t="s">
        <v>87</v>
      </c>
      <c r="H655" t="s">
        <v>88</v>
      </c>
      <c r="I655">
        <v>5209</v>
      </c>
      <c r="J655">
        <v>10</v>
      </c>
      <c r="K655" t="s">
        <v>28</v>
      </c>
      <c r="L655">
        <v>1070.3399999999999</v>
      </c>
      <c r="M655" t="str">
        <f t="shared" si="20"/>
        <v>May</v>
      </c>
      <c r="N655">
        <f t="shared" si="21"/>
        <v>2025</v>
      </c>
    </row>
    <row r="656" spans="1:14" x14ac:dyDescent="0.3">
      <c r="A656" t="s">
        <v>1020</v>
      </c>
      <c r="B656" s="5">
        <v>45813</v>
      </c>
      <c r="C656" t="s">
        <v>31</v>
      </c>
      <c r="D656" t="s">
        <v>23</v>
      </c>
      <c r="E656" t="s">
        <v>129</v>
      </c>
      <c r="F656" t="s">
        <v>25</v>
      </c>
      <c r="G656" t="s">
        <v>57</v>
      </c>
      <c r="H656" t="s">
        <v>58</v>
      </c>
      <c r="I656">
        <v>26372</v>
      </c>
      <c r="J656">
        <v>2</v>
      </c>
      <c r="K656" t="s">
        <v>53</v>
      </c>
      <c r="L656">
        <v>1962.61</v>
      </c>
      <c r="M656" t="str">
        <f t="shared" si="20"/>
        <v>Jun</v>
      </c>
      <c r="N656">
        <f t="shared" si="21"/>
        <v>2025</v>
      </c>
    </row>
    <row r="657" spans="1:14" x14ac:dyDescent="0.3">
      <c r="A657" t="s">
        <v>1021</v>
      </c>
      <c r="B657" s="5">
        <v>45659</v>
      </c>
      <c r="C657" t="s">
        <v>44</v>
      </c>
      <c r="D657" t="s">
        <v>23</v>
      </c>
      <c r="E657" t="s">
        <v>129</v>
      </c>
      <c r="F657" t="s">
        <v>46</v>
      </c>
      <c r="G657" t="s">
        <v>47</v>
      </c>
      <c r="H657" t="s">
        <v>48</v>
      </c>
      <c r="I657">
        <v>39829</v>
      </c>
      <c r="J657">
        <v>6</v>
      </c>
      <c r="K657" t="s">
        <v>34</v>
      </c>
      <c r="L657">
        <v>8152.94</v>
      </c>
      <c r="M657" t="str">
        <f t="shared" si="20"/>
        <v>Jan</v>
      </c>
      <c r="N657">
        <f t="shared" si="21"/>
        <v>2025</v>
      </c>
    </row>
    <row r="658" spans="1:14" x14ac:dyDescent="0.3">
      <c r="A658" t="s">
        <v>1022</v>
      </c>
      <c r="B658" s="5">
        <v>45729</v>
      </c>
      <c r="C658" t="s">
        <v>121</v>
      </c>
      <c r="D658" t="s">
        <v>32</v>
      </c>
      <c r="E658" t="s">
        <v>33</v>
      </c>
      <c r="F658" t="s">
        <v>46</v>
      </c>
      <c r="G658" t="s">
        <v>47</v>
      </c>
      <c r="H658" t="s">
        <v>48</v>
      </c>
      <c r="I658">
        <v>52655</v>
      </c>
      <c r="J658">
        <v>5</v>
      </c>
      <c r="K658" t="s">
        <v>53</v>
      </c>
      <c r="L658">
        <v>5126.95</v>
      </c>
      <c r="M658" t="str">
        <f t="shared" si="20"/>
        <v>Mar</v>
      </c>
      <c r="N658">
        <f t="shared" si="21"/>
        <v>2025</v>
      </c>
    </row>
    <row r="659" spans="1:14" x14ac:dyDescent="0.3">
      <c r="A659" t="s">
        <v>1023</v>
      </c>
      <c r="B659" s="5">
        <v>45731</v>
      </c>
      <c r="C659" t="s">
        <v>14</v>
      </c>
      <c r="D659" t="s">
        <v>15</v>
      </c>
      <c r="E659" t="s">
        <v>73</v>
      </c>
      <c r="F659" t="s">
        <v>46</v>
      </c>
      <c r="G659" t="s">
        <v>87</v>
      </c>
      <c r="H659" t="s">
        <v>88</v>
      </c>
      <c r="I659">
        <v>73560</v>
      </c>
      <c r="J659">
        <v>6</v>
      </c>
      <c r="K659" t="s">
        <v>53</v>
      </c>
      <c r="L659">
        <v>6223.76</v>
      </c>
      <c r="M659" t="str">
        <f t="shared" si="20"/>
        <v>Mar</v>
      </c>
      <c r="N659">
        <f t="shared" si="21"/>
        <v>2025</v>
      </c>
    </row>
    <row r="660" spans="1:14" x14ac:dyDescent="0.3">
      <c r="A660" t="s">
        <v>1024</v>
      </c>
      <c r="B660" s="5">
        <v>45979</v>
      </c>
      <c r="C660" t="s">
        <v>31</v>
      </c>
      <c r="D660" t="s">
        <v>23</v>
      </c>
      <c r="E660" t="s">
        <v>82</v>
      </c>
      <c r="F660" t="s">
        <v>25</v>
      </c>
      <c r="G660" t="s">
        <v>57</v>
      </c>
      <c r="H660" t="s">
        <v>58</v>
      </c>
      <c r="I660">
        <v>73646</v>
      </c>
      <c r="J660">
        <v>10</v>
      </c>
      <c r="K660" t="s">
        <v>28</v>
      </c>
      <c r="L660">
        <v>8035.48</v>
      </c>
      <c r="M660" t="str">
        <f t="shared" si="20"/>
        <v>Nov</v>
      </c>
      <c r="N660">
        <f t="shared" si="21"/>
        <v>2025</v>
      </c>
    </row>
    <row r="661" spans="1:14" x14ac:dyDescent="0.3">
      <c r="A661" t="s">
        <v>1025</v>
      </c>
      <c r="B661" s="5">
        <v>45668</v>
      </c>
      <c r="C661" t="s">
        <v>14</v>
      </c>
      <c r="D661" t="s">
        <v>23</v>
      </c>
      <c r="E661" t="s">
        <v>82</v>
      </c>
      <c r="F661" t="s">
        <v>17</v>
      </c>
      <c r="G661" t="s">
        <v>18</v>
      </c>
      <c r="H661" t="s">
        <v>19</v>
      </c>
      <c r="I661">
        <v>16665</v>
      </c>
      <c r="J661">
        <v>7</v>
      </c>
      <c r="K661" t="s">
        <v>28</v>
      </c>
      <c r="L661">
        <v>1669.46</v>
      </c>
      <c r="M661" t="str">
        <f t="shared" si="20"/>
        <v>Jan</v>
      </c>
      <c r="N661">
        <f t="shared" si="21"/>
        <v>2025</v>
      </c>
    </row>
    <row r="662" spans="1:14" x14ac:dyDescent="0.3">
      <c r="A662" t="s">
        <v>1026</v>
      </c>
      <c r="B662" s="5">
        <v>45750</v>
      </c>
      <c r="C662" t="s">
        <v>121</v>
      </c>
      <c r="D662" t="s">
        <v>23</v>
      </c>
      <c r="E662" t="s">
        <v>82</v>
      </c>
      <c r="F662" t="s">
        <v>17</v>
      </c>
      <c r="G662" t="s">
        <v>104</v>
      </c>
      <c r="H662" t="s">
        <v>105</v>
      </c>
      <c r="I662">
        <v>79994</v>
      </c>
      <c r="J662">
        <v>4</v>
      </c>
      <c r="K662" t="s">
        <v>49</v>
      </c>
      <c r="L662">
        <v>14194.71</v>
      </c>
      <c r="M662" t="str">
        <f t="shared" si="20"/>
        <v>Apr</v>
      </c>
      <c r="N662">
        <f t="shared" si="21"/>
        <v>2025</v>
      </c>
    </row>
    <row r="663" spans="1:14" x14ac:dyDescent="0.3">
      <c r="A663" t="s">
        <v>1028</v>
      </c>
      <c r="B663" s="5">
        <v>46001</v>
      </c>
      <c r="C663" t="s">
        <v>44</v>
      </c>
      <c r="D663" t="s">
        <v>38</v>
      </c>
      <c r="E663" t="s">
        <v>39</v>
      </c>
      <c r="F663" t="s">
        <v>17</v>
      </c>
      <c r="G663" t="s">
        <v>76</v>
      </c>
      <c r="H663" t="s">
        <v>77</v>
      </c>
      <c r="I663">
        <v>10412</v>
      </c>
      <c r="J663">
        <v>3</v>
      </c>
      <c r="K663" t="s">
        <v>53</v>
      </c>
      <c r="L663">
        <v>1819.74</v>
      </c>
      <c r="M663" t="str">
        <f t="shared" si="20"/>
        <v>Dec</v>
      </c>
      <c r="N663">
        <f t="shared" si="21"/>
        <v>2025</v>
      </c>
    </row>
    <row r="664" spans="1:14" x14ac:dyDescent="0.3">
      <c r="A664" t="s">
        <v>1030</v>
      </c>
      <c r="B664" s="5">
        <v>45713</v>
      </c>
      <c r="C664" t="s">
        <v>63</v>
      </c>
      <c r="D664" t="s">
        <v>15</v>
      </c>
      <c r="E664" t="s">
        <v>16</v>
      </c>
      <c r="F664" t="s">
        <v>46</v>
      </c>
      <c r="G664" t="s">
        <v>94</v>
      </c>
      <c r="H664" t="s">
        <v>95</v>
      </c>
      <c r="I664">
        <v>6594</v>
      </c>
      <c r="J664">
        <v>4</v>
      </c>
      <c r="K664" t="s">
        <v>34</v>
      </c>
      <c r="L664">
        <v>1346.57</v>
      </c>
      <c r="M664" t="str">
        <f t="shared" si="20"/>
        <v>Feb</v>
      </c>
      <c r="N664">
        <f t="shared" si="21"/>
        <v>2025</v>
      </c>
    </row>
    <row r="665" spans="1:14" x14ac:dyDescent="0.3">
      <c r="A665" t="s">
        <v>1031</v>
      </c>
      <c r="B665" s="5">
        <v>45669</v>
      </c>
      <c r="C665" t="s">
        <v>63</v>
      </c>
      <c r="D665" t="s">
        <v>15</v>
      </c>
      <c r="E665" t="s">
        <v>154</v>
      </c>
      <c r="F665" t="s">
        <v>46</v>
      </c>
      <c r="G665" t="s">
        <v>47</v>
      </c>
      <c r="H665" t="s">
        <v>48</v>
      </c>
      <c r="I665">
        <v>70351</v>
      </c>
      <c r="J665">
        <v>9</v>
      </c>
      <c r="K665" t="s">
        <v>34</v>
      </c>
      <c r="L665">
        <v>18239.12</v>
      </c>
      <c r="M665" t="str">
        <f t="shared" si="20"/>
        <v>Jan</v>
      </c>
      <c r="N665">
        <f t="shared" si="21"/>
        <v>2025</v>
      </c>
    </row>
    <row r="666" spans="1:14" x14ac:dyDescent="0.3">
      <c r="A666" t="s">
        <v>1033</v>
      </c>
      <c r="B666" s="5">
        <v>45699</v>
      </c>
      <c r="C666" t="s">
        <v>91</v>
      </c>
      <c r="D666" t="s">
        <v>32</v>
      </c>
      <c r="E666" t="s">
        <v>45</v>
      </c>
      <c r="F666" t="s">
        <v>25</v>
      </c>
      <c r="G666" t="s">
        <v>57</v>
      </c>
      <c r="H666" t="s">
        <v>58</v>
      </c>
      <c r="I666">
        <v>79572</v>
      </c>
      <c r="J666">
        <v>1</v>
      </c>
      <c r="K666" t="s">
        <v>20</v>
      </c>
      <c r="L666">
        <v>6990.34</v>
      </c>
      <c r="M666" t="str">
        <f t="shared" si="20"/>
        <v>Feb</v>
      </c>
      <c r="N666">
        <f t="shared" si="21"/>
        <v>2025</v>
      </c>
    </row>
    <row r="667" spans="1:14" x14ac:dyDescent="0.3">
      <c r="A667" t="s">
        <v>1034</v>
      </c>
      <c r="B667" s="5">
        <v>45921</v>
      </c>
      <c r="C667" t="s">
        <v>56</v>
      </c>
      <c r="D667" t="s">
        <v>38</v>
      </c>
      <c r="E667" t="s">
        <v>39</v>
      </c>
      <c r="F667" t="s">
        <v>46</v>
      </c>
      <c r="G667" t="s">
        <v>47</v>
      </c>
      <c r="H667" t="s">
        <v>48</v>
      </c>
      <c r="I667">
        <v>3961</v>
      </c>
      <c r="J667">
        <v>6</v>
      </c>
      <c r="K667" t="s">
        <v>49</v>
      </c>
      <c r="L667">
        <v>418.95</v>
      </c>
      <c r="M667" t="str">
        <f t="shared" si="20"/>
        <v>Sep</v>
      </c>
      <c r="N667">
        <f t="shared" si="21"/>
        <v>2025</v>
      </c>
    </row>
    <row r="668" spans="1:14" x14ac:dyDescent="0.3">
      <c r="A668" t="s">
        <v>1035</v>
      </c>
      <c r="B668" s="5">
        <v>45687</v>
      </c>
      <c r="C668" t="s">
        <v>121</v>
      </c>
      <c r="D668" t="s">
        <v>23</v>
      </c>
      <c r="E668" t="s">
        <v>129</v>
      </c>
      <c r="F668" t="s">
        <v>46</v>
      </c>
      <c r="G668" t="s">
        <v>87</v>
      </c>
      <c r="H668" t="s">
        <v>88</v>
      </c>
      <c r="I668">
        <v>48745</v>
      </c>
      <c r="J668">
        <v>8</v>
      </c>
      <c r="K668" t="s">
        <v>28</v>
      </c>
      <c r="L668">
        <v>8096.51</v>
      </c>
      <c r="M668" t="str">
        <f t="shared" si="20"/>
        <v>Jan</v>
      </c>
      <c r="N668">
        <f t="shared" si="21"/>
        <v>2025</v>
      </c>
    </row>
    <row r="669" spans="1:14" x14ac:dyDescent="0.3">
      <c r="A669" t="s">
        <v>1036</v>
      </c>
      <c r="B669" s="5">
        <v>45786</v>
      </c>
      <c r="C669" t="s">
        <v>91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59539</v>
      </c>
      <c r="J669">
        <v>4</v>
      </c>
      <c r="K669" t="s">
        <v>49</v>
      </c>
      <c r="L669">
        <v>6543.09</v>
      </c>
      <c r="M669" t="str">
        <f t="shared" si="20"/>
        <v>May</v>
      </c>
      <c r="N669">
        <f t="shared" si="21"/>
        <v>2025</v>
      </c>
    </row>
    <row r="670" spans="1:14" x14ac:dyDescent="0.3">
      <c r="A670" t="s">
        <v>1037</v>
      </c>
      <c r="B670" s="5">
        <v>45909</v>
      </c>
      <c r="C670" t="s">
        <v>66</v>
      </c>
      <c r="D670" t="s">
        <v>15</v>
      </c>
      <c r="E670" t="s">
        <v>154</v>
      </c>
      <c r="F670" t="s">
        <v>17</v>
      </c>
      <c r="G670" t="s">
        <v>18</v>
      </c>
      <c r="H670" t="s">
        <v>19</v>
      </c>
      <c r="I670">
        <v>13424</v>
      </c>
      <c r="J670">
        <v>4</v>
      </c>
      <c r="K670" t="s">
        <v>49</v>
      </c>
      <c r="L670">
        <v>2701.39</v>
      </c>
      <c r="M670" t="str">
        <f t="shared" si="20"/>
        <v>Sep</v>
      </c>
      <c r="N670">
        <f t="shared" si="21"/>
        <v>2025</v>
      </c>
    </row>
    <row r="671" spans="1:14" x14ac:dyDescent="0.3">
      <c r="A671" t="s">
        <v>1038</v>
      </c>
      <c r="B671" s="5">
        <v>45857</v>
      </c>
      <c r="C671" t="s">
        <v>37</v>
      </c>
      <c r="D671" t="s">
        <v>38</v>
      </c>
      <c r="E671" t="s">
        <v>39</v>
      </c>
      <c r="F671" t="s">
        <v>17</v>
      </c>
      <c r="G671" t="s">
        <v>18</v>
      </c>
      <c r="H671" t="s">
        <v>19</v>
      </c>
      <c r="I671">
        <v>24243</v>
      </c>
      <c r="J671">
        <v>4</v>
      </c>
      <c r="K671" t="s">
        <v>28</v>
      </c>
      <c r="L671">
        <v>6422.79</v>
      </c>
      <c r="M671" t="str">
        <f t="shared" si="20"/>
        <v>Jul</v>
      </c>
      <c r="N671">
        <f t="shared" si="21"/>
        <v>2025</v>
      </c>
    </row>
    <row r="672" spans="1:14" x14ac:dyDescent="0.3">
      <c r="A672" t="s">
        <v>1039</v>
      </c>
      <c r="B672" s="5">
        <v>45814</v>
      </c>
      <c r="C672" t="s">
        <v>14</v>
      </c>
      <c r="D672" t="s">
        <v>15</v>
      </c>
      <c r="E672" t="s">
        <v>73</v>
      </c>
      <c r="F672" t="s">
        <v>46</v>
      </c>
      <c r="G672" t="s">
        <v>87</v>
      </c>
      <c r="H672" t="s">
        <v>88</v>
      </c>
      <c r="I672">
        <v>52412</v>
      </c>
      <c r="J672">
        <v>8</v>
      </c>
      <c r="K672" t="s">
        <v>53</v>
      </c>
      <c r="L672">
        <v>7081.6</v>
      </c>
      <c r="M672" t="str">
        <f t="shared" si="20"/>
        <v>Jun</v>
      </c>
      <c r="N672">
        <f t="shared" si="21"/>
        <v>2025</v>
      </c>
    </row>
    <row r="673" spans="1:14" x14ac:dyDescent="0.3">
      <c r="A673" t="s">
        <v>1040</v>
      </c>
      <c r="B673" s="5">
        <v>45734</v>
      </c>
      <c r="C673" t="s">
        <v>37</v>
      </c>
      <c r="D673" t="s">
        <v>15</v>
      </c>
      <c r="E673" t="s">
        <v>154</v>
      </c>
      <c r="F673" t="s">
        <v>25</v>
      </c>
      <c r="G673" t="s">
        <v>26</v>
      </c>
      <c r="H673" t="s">
        <v>27</v>
      </c>
      <c r="I673">
        <v>58810</v>
      </c>
      <c r="J673">
        <v>2</v>
      </c>
      <c r="K673" t="s">
        <v>53</v>
      </c>
      <c r="L673">
        <v>9630.1</v>
      </c>
      <c r="M673" t="str">
        <f t="shared" si="20"/>
        <v>Mar</v>
      </c>
      <c r="N673">
        <f t="shared" si="21"/>
        <v>2025</v>
      </c>
    </row>
    <row r="674" spans="1:14" x14ac:dyDescent="0.3">
      <c r="A674" t="s">
        <v>1042</v>
      </c>
      <c r="B674" s="5">
        <v>45690</v>
      </c>
      <c r="C674" t="s">
        <v>14</v>
      </c>
      <c r="D674" t="s">
        <v>32</v>
      </c>
      <c r="E674" t="s">
        <v>116</v>
      </c>
      <c r="F674" t="s">
        <v>25</v>
      </c>
      <c r="G674" t="s">
        <v>40</v>
      </c>
      <c r="H674" t="s">
        <v>41</v>
      </c>
      <c r="I674">
        <v>68747</v>
      </c>
      <c r="J674">
        <v>9</v>
      </c>
      <c r="K674" t="s">
        <v>34</v>
      </c>
      <c r="L674">
        <v>17513.580000000002</v>
      </c>
      <c r="M674" t="str">
        <f t="shared" si="20"/>
        <v>Feb</v>
      </c>
      <c r="N674">
        <f t="shared" si="21"/>
        <v>2025</v>
      </c>
    </row>
    <row r="675" spans="1:14" x14ac:dyDescent="0.3">
      <c r="A675" t="s">
        <v>1043</v>
      </c>
      <c r="B675" s="5">
        <v>45885</v>
      </c>
      <c r="C675" t="s">
        <v>63</v>
      </c>
      <c r="D675" t="s">
        <v>38</v>
      </c>
      <c r="E675" t="s">
        <v>67</v>
      </c>
      <c r="F675" t="s">
        <v>25</v>
      </c>
      <c r="G675" t="s">
        <v>26</v>
      </c>
      <c r="H675" t="s">
        <v>27</v>
      </c>
      <c r="I675">
        <v>46022</v>
      </c>
      <c r="J675">
        <v>3</v>
      </c>
      <c r="K675" t="s">
        <v>34</v>
      </c>
      <c r="L675">
        <v>3475.55</v>
      </c>
      <c r="M675" t="str">
        <f t="shared" si="20"/>
        <v>Aug</v>
      </c>
      <c r="N675">
        <f t="shared" si="21"/>
        <v>2025</v>
      </c>
    </row>
    <row r="676" spans="1:14" x14ac:dyDescent="0.3">
      <c r="A676" t="s">
        <v>1044</v>
      </c>
      <c r="B676" s="5">
        <v>45862</v>
      </c>
      <c r="C676" t="s">
        <v>44</v>
      </c>
      <c r="D676" t="s">
        <v>38</v>
      </c>
      <c r="E676" t="s">
        <v>52</v>
      </c>
      <c r="F676" t="s">
        <v>25</v>
      </c>
      <c r="G676" t="s">
        <v>57</v>
      </c>
      <c r="H676" t="s">
        <v>58</v>
      </c>
      <c r="I676">
        <v>63328</v>
      </c>
      <c r="J676">
        <v>3</v>
      </c>
      <c r="K676" t="s">
        <v>34</v>
      </c>
      <c r="L676">
        <v>10209.709999999999</v>
      </c>
      <c r="M676" t="str">
        <f t="shared" si="20"/>
        <v>Jul</v>
      </c>
      <c r="N676">
        <f t="shared" si="21"/>
        <v>2025</v>
      </c>
    </row>
    <row r="677" spans="1:14" x14ac:dyDescent="0.3">
      <c r="A677" t="s">
        <v>1046</v>
      </c>
      <c r="B677" s="5">
        <v>45811</v>
      </c>
      <c r="C677" t="s">
        <v>63</v>
      </c>
      <c r="D677" t="s">
        <v>23</v>
      </c>
      <c r="E677" t="s">
        <v>129</v>
      </c>
      <c r="F677" t="s">
        <v>25</v>
      </c>
      <c r="G677" t="s">
        <v>57</v>
      </c>
      <c r="H677" t="s">
        <v>58</v>
      </c>
      <c r="I677">
        <v>28853</v>
      </c>
      <c r="J677">
        <v>1</v>
      </c>
      <c r="K677" t="s">
        <v>28</v>
      </c>
      <c r="L677">
        <v>4233.03</v>
      </c>
      <c r="M677" t="str">
        <f t="shared" si="20"/>
        <v>Jun</v>
      </c>
      <c r="N677">
        <f t="shared" si="21"/>
        <v>2025</v>
      </c>
    </row>
    <row r="678" spans="1:14" x14ac:dyDescent="0.3">
      <c r="A678" t="s">
        <v>1047</v>
      </c>
      <c r="B678" s="5">
        <v>45667</v>
      </c>
      <c r="C678" t="s">
        <v>56</v>
      </c>
      <c r="D678" t="s">
        <v>32</v>
      </c>
      <c r="E678" t="s">
        <v>116</v>
      </c>
      <c r="F678" t="s">
        <v>25</v>
      </c>
      <c r="G678" t="s">
        <v>57</v>
      </c>
      <c r="H678" t="s">
        <v>58</v>
      </c>
      <c r="I678">
        <v>59428</v>
      </c>
      <c r="J678">
        <v>4</v>
      </c>
      <c r="K678" t="s">
        <v>28</v>
      </c>
      <c r="L678">
        <v>15090.98</v>
      </c>
      <c r="M678" t="str">
        <f t="shared" si="20"/>
        <v>Jan</v>
      </c>
      <c r="N678">
        <f t="shared" si="21"/>
        <v>2025</v>
      </c>
    </row>
    <row r="679" spans="1:14" x14ac:dyDescent="0.3">
      <c r="A679" t="s">
        <v>1049</v>
      </c>
      <c r="B679" s="5">
        <v>45815</v>
      </c>
      <c r="C679" t="s">
        <v>14</v>
      </c>
      <c r="D679" t="s">
        <v>23</v>
      </c>
      <c r="E679" t="s">
        <v>129</v>
      </c>
      <c r="F679" t="s">
        <v>17</v>
      </c>
      <c r="G679" t="s">
        <v>76</v>
      </c>
      <c r="H679" t="s">
        <v>77</v>
      </c>
      <c r="I679">
        <v>45958</v>
      </c>
      <c r="J679">
        <v>3</v>
      </c>
      <c r="K679" t="s">
        <v>49</v>
      </c>
      <c r="L679">
        <v>12036.92</v>
      </c>
      <c r="M679" t="str">
        <f t="shared" si="20"/>
        <v>Jun</v>
      </c>
      <c r="N679">
        <f t="shared" si="21"/>
        <v>2025</v>
      </c>
    </row>
    <row r="680" spans="1:14" x14ac:dyDescent="0.3">
      <c r="A680" t="s">
        <v>1051</v>
      </c>
      <c r="B680" s="5">
        <v>45815</v>
      </c>
      <c r="C680" t="s">
        <v>72</v>
      </c>
      <c r="D680" t="s">
        <v>23</v>
      </c>
      <c r="E680" t="s">
        <v>129</v>
      </c>
      <c r="F680" t="s">
        <v>25</v>
      </c>
      <c r="G680" t="s">
        <v>57</v>
      </c>
      <c r="H680" t="s">
        <v>58</v>
      </c>
      <c r="I680">
        <v>16769</v>
      </c>
      <c r="J680">
        <v>6</v>
      </c>
      <c r="K680" t="s">
        <v>20</v>
      </c>
      <c r="L680">
        <v>4157.82</v>
      </c>
      <c r="M680" t="str">
        <f t="shared" si="20"/>
        <v>Jun</v>
      </c>
      <c r="N680">
        <f t="shared" si="21"/>
        <v>2025</v>
      </c>
    </row>
    <row r="681" spans="1:14" x14ac:dyDescent="0.3">
      <c r="A681" t="s">
        <v>1052</v>
      </c>
      <c r="B681" s="5">
        <v>45965</v>
      </c>
      <c r="C681" t="s">
        <v>14</v>
      </c>
      <c r="D681" t="s">
        <v>38</v>
      </c>
      <c r="E681" t="s">
        <v>39</v>
      </c>
      <c r="F681" t="s">
        <v>17</v>
      </c>
      <c r="G681" t="s">
        <v>76</v>
      </c>
      <c r="H681" t="s">
        <v>77</v>
      </c>
      <c r="I681">
        <v>35470</v>
      </c>
      <c r="J681">
        <v>6</v>
      </c>
      <c r="K681" t="s">
        <v>28</v>
      </c>
      <c r="L681">
        <v>2615.2199999999998</v>
      </c>
      <c r="M681" t="str">
        <f t="shared" si="20"/>
        <v>Nov</v>
      </c>
      <c r="N681">
        <f t="shared" si="21"/>
        <v>2025</v>
      </c>
    </row>
    <row r="682" spans="1:14" x14ac:dyDescent="0.3">
      <c r="A682" t="s">
        <v>1054</v>
      </c>
      <c r="B682" s="5">
        <v>45835</v>
      </c>
      <c r="C682" t="s">
        <v>44</v>
      </c>
      <c r="D682" t="s">
        <v>32</v>
      </c>
      <c r="E682" t="s">
        <v>116</v>
      </c>
      <c r="F682" t="s">
        <v>17</v>
      </c>
      <c r="G682" t="s">
        <v>104</v>
      </c>
      <c r="H682" t="s">
        <v>105</v>
      </c>
      <c r="I682">
        <v>77643</v>
      </c>
      <c r="J682">
        <v>7</v>
      </c>
      <c r="K682" t="s">
        <v>34</v>
      </c>
      <c r="L682">
        <v>16579.900000000001</v>
      </c>
      <c r="M682" t="str">
        <f t="shared" si="20"/>
        <v>Jun</v>
      </c>
      <c r="N682">
        <f t="shared" si="21"/>
        <v>2025</v>
      </c>
    </row>
    <row r="683" spans="1:14" x14ac:dyDescent="0.3">
      <c r="A683" t="s">
        <v>1055</v>
      </c>
      <c r="B683" s="5">
        <v>45681</v>
      </c>
      <c r="C683" t="s">
        <v>72</v>
      </c>
      <c r="D683" t="s">
        <v>15</v>
      </c>
      <c r="E683" t="s">
        <v>73</v>
      </c>
      <c r="F683" t="s">
        <v>25</v>
      </c>
      <c r="G683" t="s">
        <v>40</v>
      </c>
      <c r="H683" t="s">
        <v>41</v>
      </c>
      <c r="I683">
        <v>33478</v>
      </c>
      <c r="J683">
        <v>5</v>
      </c>
      <c r="K683" t="s">
        <v>49</v>
      </c>
      <c r="L683">
        <v>4379.96</v>
      </c>
      <c r="M683" t="str">
        <f t="shared" si="20"/>
        <v>Jan</v>
      </c>
      <c r="N683">
        <f t="shared" si="21"/>
        <v>2025</v>
      </c>
    </row>
    <row r="684" spans="1:14" x14ac:dyDescent="0.3">
      <c r="A684" t="s">
        <v>1056</v>
      </c>
      <c r="B684" s="5">
        <v>45708</v>
      </c>
      <c r="C684" t="s">
        <v>91</v>
      </c>
      <c r="D684" t="s">
        <v>38</v>
      </c>
      <c r="E684" t="s">
        <v>39</v>
      </c>
      <c r="F684" t="s">
        <v>17</v>
      </c>
      <c r="G684" t="s">
        <v>18</v>
      </c>
      <c r="H684" t="s">
        <v>19</v>
      </c>
      <c r="I684">
        <v>48245</v>
      </c>
      <c r="J684">
        <v>4</v>
      </c>
      <c r="K684" t="s">
        <v>49</v>
      </c>
      <c r="L684">
        <v>12306.76</v>
      </c>
      <c r="M684" t="str">
        <f t="shared" si="20"/>
        <v>Feb</v>
      </c>
      <c r="N684">
        <f t="shared" si="21"/>
        <v>2025</v>
      </c>
    </row>
    <row r="685" spans="1:14" x14ac:dyDescent="0.3">
      <c r="A685" t="s">
        <v>1057</v>
      </c>
      <c r="B685" s="5">
        <v>45698</v>
      </c>
      <c r="C685" t="s">
        <v>72</v>
      </c>
      <c r="D685" t="s">
        <v>15</v>
      </c>
      <c r="E685" t="s">
        <v>154</v>
      </c>
      <c r="F685" t="s">
        <v>17</v>
      </c>
      <c r="G685" t="s">
        <v>18</v>
      </c>
      <c r="H685" t="s">
        <v>19</v>
      </c>
      <c r="I685">
        <v>72361</v>
      </c>
      <c r="J685">
        <v>4</v>
      </c>
      <c r="K685" t="s">
        <v>49</v>
      </c>
      <c r="L685">
        <v>16276.88</v>
      </c>
      <c r="M685" t="str">
        <f t="shared" si="20"/>
        <v>Feb</v>
      </c>
      <c r="N685">
        <f t="shared" si="21"/>
        <v>2025</v>
      </c>
    </row>
    <row r="686" spans="1:14" x14ac:dyDescent="0.3">
      <c r="A686" t="s">
        <v>1058</v>
      </c>
      <c r="B686" s="5">
        <v>45958</v>
      </c>
      <c r="C686" t="s">
        <v>91</v>
      </c>
      <c r="D686" t="s">
        <v>38</v>
      </c>
      <c r="E686" t="s">
        <v>39</v>
      </c>
      <c r="F686" t="s">
        <v>25</v>
      </c>
      <c r="G686" t="s">
        <v>26</v>
      </c>
      <c r="H686" t="s">
        <v>27</v>
      </c>
      <c r="I686">
        <v>64973</v>
      </c>
      <c r="J686">
        <v>9</v>
      </c>
      <c r="K686" t="s">
        <v>28</v>
      </c>
      <c r="L686">
        <v>11847.16</v>
      </c>
      <c r="M686" t="str">
        <f t="shared" si="20"/>
        <v>Oct</v>
      </c>
      <c r="N686">
        <f t="shared" si="21"/>
        <v>2025</v>
      </c>
    </row>
    <row r="687" spans="1:14" x14ac:dyDescent="0.3">
      <c r="A687" t="s">
        <v>1059</v>
      </c>
      <c r="B687" s="5">
        <v>45975</v>
      </c>
      <c r="C687" t="s">
        <v>121</v>
      </c>
      <c r="D687" t="s">
        <v>23</v>
      </c>
      <c r="E687" t="s">
        <v>24</v>
      </c>
      <c r="F687" t="s">
        <v>17</v>
      </c>
      <c r="G687" t="s">
        <v>18</v>
      </c>
      <c r="H687" t="s">
        <v>19</v>
      </c>
      <c r="I687">
        <v>8200</v>
      </c>
      <c r="J687">
        <v>3</v>
      </c>
      <c r="K687" t="s">
        <v>34</v>
      </c>
      <c r="L687">
        <v>1573.28</v>
      </c>
      <c r="M687" t="str">
        <f t="shared" si="20"/>
        <v>Nov</v>
      </c>
      <c r="N687">
        <f t="shared" si="21"/>
        <v>2025</v>
      </c>
    </row>
    <row r="688" spans="1:14" x14ac:dyDescent="0.3">
      <c r="A688" t="s">
        <v>1060</v>
      </c>
      <c r="B688" s="5">
        <v>45706</v>
      </c>
      <c r="C688" t="s">
        <v>72</v>
      </c>
      <c r="D688" t="s">
        <v>38</v>
      </c>
      <c r="E688" t="s">
        <v>67</v>
      </c>
      <c r="F688" t="s">
        <v>17</v>
      </c>
      <c r="G688" t="s">
        <v>104</v>
      </c>
      <c r="H688" t="s">
        <v>105</v>
      </c>
      <c r="I688">
        <v>63920</v>
      </c>
      <c r="J688">
        <v>1</v>
      </c>
      <c r="K688" t="s">
        <v>49</v>
      </c>
      <c r="L688">
        <v>5226.58</v>
      </c>
      <c r="M688" t="str">
        <f t="shared" si="20"/>
        <v>Feb</v>
      </c>
      <c r="N688">
        <f t="shared" si="21"/>
        <v>2025</v>
      </c>
    </row>
    <row r="689" spans="1:14" x14ac:dyDescent="0.3">
      <c r="A689" t="s">
        <v>1061</v>
      </c>
      <c r="B689" s="5">
        <v>45743</v>
      </c>
      <c r="C689" t="s">
        <v>14</v>
      </c>
      <c r="D689" t="s">
        <v>15</v>
      </c>
      <c r="E689" t="s">
        <v>73</v>
      </c>
      <c r="F689" t="s">
        <v>25</v>
      </c>
      <c r="G689" t="s">
        <v>26</v>
      </c>
      <c r="H689" t="s">
        <v>27</v>
      </c>
      <c r="I689">
        <v>69256</v>
      </c>
      <c r="J689">
        <v>1</v>
      </c>
      <c r="K689" t="s">
        <v>34</v>
      </c>
      <c r="L689">
        <v>17365.060000000001</v>
      </c>
      <c r="M689" t="str">
        <f t="shared" si="20"/>
        <v>Mar</v>
      </c>
      <c r="N689">
        <f t="shared" si="21"/>
        <v>2025</v>
      </c>
    </row>
    <row r="690" spans="1:14" x14ac:dyDescent="0.3">
      <c r="A690" t="s">
        <v>1063</v>
      </c>
      <c r="B690" s="5">
        <v>45983</v>
      </c>
      <c r="C690" t="s">
        <v>44</v>
      </c>
      <c r="D690" t="s">
        <v>38</v>
      </c>
      <c r="E690" t="s">
        <v>52</v>
      </c>
      <c r="F690" t="s">
        <v>46</v>
      </c>
      <c r="G690" t="s">
        <v>87</v>
      </c>
      <c r="H690" t="s">
        <v>88</v>
      </c>
      <c r="I690">
        <v>58327</v>
      </c>
      <c r="J690">
        <v>10</v>
      </c>
      <c r="K690" t="s">
        <v>34</v>
      </c>
      <c r="L690">
        <v>11139.2</v>
      </c>
      <c r="M690" t="str">
        <f t="shared" si="20"/>
        <v>Nov</v>
      </c>
      <c r="N690">
        <f t="shared" si="21"/>
        <v>2025</v>
      </c>
    </row>
    <row r="691" spans="1:14" x14ac:dyDescent="0.3">
      <c r="A691" t="s">
        <v>1065</v>
      </c>
      <c r="B691" s="5">
        <v>45710</v>
      </c>
      <c r="C691" t="s">
        <v>14</v>
      </c>
      <c r="D691" t="s">
        <v>23</v>
      </c>
      <c r="E691" t="s">
        <v>129</v>
      </c>
      <c r="F691" t="s">
        <v>17</v>
      </c>
      <c r="G691" t="s">
        <v>104</v>
      </c>
      <c r="H691" t="s">
        <v>105</v>
      </c>
      <c r="I691">
        <v>69175</v>
      </c>
      <c r="J691">
        <v>6</v>
      </c>
      <c r="K691" t="s">
        <v>28</v>
      </c>
      <c r="L691">
        <v>5515.47</v>
      </c>
      <c r="M691" t="str">
        <f t="shared" si="20"/>
        <v>Feb</v>
      </c>
      <c r="N691">
        <f t="shared" si="21"/>
        <v>2025</v>
      </c>
    </row>
    <row r="692" spans="1:14" x14ac:dyDescent="0.3">
      <c r="A692" t="s">
        <v>1066</v>
      </c>
      <c r="B692" s="5">
        <v>45988</v>
      </c>
      <c r="C692" t="s">
        <v>66</v>
      </c>
      <c r="D692" t="s">
        <v>38</v>
      </c>
      <c r="E692" t="s">
        <v>39</v>
      </c>
      <c r="F692" t="s">
        <v>25</v>
      </c>
      <c r="G692" t="s">
        <v>57</v>
      </c>
      <c r="H692" t="s">
        <v>58</v>
      </c>
      <c r="I692">
        <v>51275</v>
      </c>
      <c r="J692">
        <v>6</v>
      </c>
      <c r="K692" t="s">
        <v>28</v>
      </c>
      <c r="L692">
        <v>11106.99</v>
      </c>
      <c r="M692" t="str">
        <f t="shared" si="20"/>
        <v>Nov</v>
      </c>
      <c r="N692">
        <f t="shared" si="21"/>
        <v>2025</v>
      </c>
    </row>
    <row r="693" spans="1:14" x14ac:dyDescent="0.3">
      <c r="A693" t="s">
        <v>1067</v>
      </c>
      <c r="B693" s="5">
        <v>45894</v>
      </c>
      <c r="C693" t="s">
        <v>63</v>
      </c>
      <c r="D693" t="s">
        <v>15</v>
      </c>
      <c r="E693" t="s">
        <v>16</v>
      </c>
      <c r="F693" t="s">
        <v>17</v>
      </c>
      <c r="G693" t="s">
        <v>104</v>
      </c>
      <c r="H693" t="s">
        <v>105</v>
      </c>
      <c r="I693">
        <v>39761</v>
      </c>
      <c r="J693">
        <v>7</v>
      </c>
      <c r="K693" t="s">
        <v>28</v>
      </c>
      <c r="L693">
        <v>4608.33</v>
      </c>
      <c r="M693" t="str">
        <f t="shared" si="20"/>
        <v>Aug</v>
      </c>
      <c r="N693">
        <f t="shared" si="21"/>
        <v>2025</v>
      </c>
    </row>
    <row r="694" spans="1:14" x14ac:dyDescent="0.3">
      <c r="A694" t="s">
        <v>1068</v>
      </c>
      <c r="B694" s="5">
        <v>45923</v>
      </c>
      <c r="C694" t="s">
        <v>121</v>
      </c>
      <c r="D694" t="s">
        <v>32</v>
      </c>
      <c r="E694" t="s">
        <v>33</v>
      </c>
      <c r="F694" t="s">
        <v>17</v>
      </c>
      <c r="G694" t="s">
        <v>76</v>
      </c>
      <c r="H694" t="s">
        <v>77</v>
      </c>
      <c r="I694">
        <v>34085</v>
      </c>
      <c r="J694">
        <v>2</v>
      </c>
      <c r="K694" t="s">
        <v>53</v>
      </c>
      <c r="L694">
        <v>3212.45</v>
      </c>
      <c r="M694" t="str">
        <f t="shared" si="20"/>
        <v>Sep</v>
      </c>
      <c r="N694">
        <f t="shared" si="21"/>
        <v>2025</v>
      </c>
    </row>
    <row r="695" spans="1:14" x14ac:dyDescent="0.3">
      <c r="A695" t="s">
        <v>1069</v>
      </c>
      <c r="B695" s="5">
        <v>45738</v>
      </c>
      <c r="C695" t="s">
        <v>72</v>
      </c>
      <c r="D695" t="s">
        <v>23</v>
      </c>
      <c r="E695" t="s">
        <v>82</v>
      </c>
      <c r="F695" t="s">
        <v>17</v>
      </c>
      <c r="G695" t="s">
        <v>76</v>
      </c>
      <c r="H695" t="s">
        <v>77</v>
      </c>
      <c r="I695">
        <v>30275</v>
      </c>
      <c r="J695">
        <v>2</v>
      </c>
      <c r="K695" t="s">
        <v>53</v>
      </c>
      <c r="L695">
        <v>3714.92</v>
      </c>
      <c r="M695" t="str">
        <f t="shared" si="20"/>
        <v>Mar</v>
      </c>
      <c r="N695">
        <f t="shared" si="21"/>
        <v>2025</v>
      </c>
    </row>
    <row r="696" spans="1:14" x14ac:dyDescent="0.3">
      <c r="A696" t="s">
        <v>1070</v>
      </c>
      <c r="B696" s="5">
        <v>45688</v>
      </c>
      <c r="C696" t="s">
        <v>44</v>
      </c>
      <c r="D696" t="s">
        <v>32</v>
      </c>
      <c r="E696" t="s">
        <v>116</v>
      </c>
      <c r="F696" t="s">
        <v>17</v>
      </c>
      <c r="G696" t="s">
        <v>104</v>
      </c>
      <c r="H696" t="s">
        <v>105</v>
      </c>
      <c r="I696">
        <v>62141</v>
      </c>
      <c r="J696">
        <v>3</v>
      </c>
      <c r="K696" t="s">
        <v>53</v>
      </c>
      <c r="L696">
        <v>14225.93</v>
      </c>
      <c r="M696" t="str">
        <f t="shared" si="20"/>
        <v>Jan</v>
      </c>
      <c r="N696">
        <f t="shared" si="21"/>
        <v>2025</v>
      </c>
    </row>
    <row r="697" spans="1:14" x14ac:dyDescent="0.3">
      <c r="A697" t="s">
        <v>1072</v>
      </c>
      <c r="B697" s="5">
        <v>45665</v>
      </c>
      <c r="C697" t="s">
        <v>37</v>
      </c>
      <c r="D697" t="s">
        <v>15</v>
      </c>
      <c r="E697" t="s">
        <v>154</v>
      </c>
      <c r="F697" t="s">
        <v>17</v>
      </c>
      <c r="G697" t="s">
        <v>76</v>
      </c>
      <c r="H697" t="s">
        <v>77</v>
      </c>
      <c r="I697">
        <v>69791</v>
      </c>
      <c r="J697">
        <v>9</v>
      </c>
      <c r="K697" t="s">
        <v>49</v>
      </c>
      <c r="L697">
        <v>13956.67</v>
      </c>
      <c r="M697" t="str">
        <f t="shared" si="20"/>
        <v>Jan</v>
      </c>
      <c r="N697">
        <f t="shared" si="21"/>
        <v>2025</v>
      </c>
    </row>
    <row r="698" spans="1:14" x14ac:dyDescent="0.3">
      <c r="A698" t="s">
        <v>1073</v>
      </c>
      <c r="B698" s="5">
        <v>45789</v>
      </c>
      <c r="C698" t="s">
        <v>37</v>
      </c>
      <c r="D698" t="s">
        <v>32</v>
      </c>
      <c r="E698" t="s">
        <v>45</v>
      </c>
      <c r="F698" t="s">
        <v>25</v>
      </c>
      <c r="G698" t="s">
        <v>57</v>
      </c>
      <c r="H698" t="s">
        <v>58</v>
      </c>
      <c r="I698">
        <v>16641</v>
      </c>
      <c r="J698">
        <v>1</v>
      </c>
      <c r="K698" t="s">
        <v>49</v>
      </c>
      <c r="L698">
        <v>1735.95</v>
      </c>
      <c r="M698" t="str">
        <f t="shared" si="20"/>
        <v>May</v>
      </c>
      <c r="N698">
        <f t="shared" si="21"/>
        <v>2025</v>
      </c>
    </row>
    <row r="699" spans="1:14" x14ac:dyDescent="0.3">
      <c r="A699" t="s">
        <v>1074</v>
      </c>
      <c r="B699" s="5">
        <v>45748</v>
      </c>
      <c r="C699" t="s">
        <v>31</v>
      </c>
      <c r="D699" t="s">
        <v>15</v>
      </c>
      <c r="E699" t="s">
        <v>73</v>
      </c>
      <c r="F699" t="s">
        <v>25</v>
      </c>
      <c r="G699" t="s">
        <v>26</v>
      </c>
      <c r="H699" t="s">
        <v>27</v>
      </c>
      <c r="I699">
        <v>26135</v>
      </c>
      <c r="J699">
        <v>4</v>
      </c>
      <c r="K699" t="s">
        <v>28</v>
      </c>
      <c r="L699">
        <v>5520.59</v>
      </c>
      <c r="M699" t="str">
        <f t="shared" si="20"/>
        <v>Apr</v>
      </c>
      <c r="N699">
        <f t="shared" si="21"/>
        <v>2025</v>
      </c>
    </row>
    <row r="700" spans="1:14" x14ac:dyDescent="0.3">
      <c r="A700" t="s">
        <v>1075</v>
      </c>
      <c r="B700" s="5">
        <v>45891</v>
      </c>
      <c r="C700" t="s">
        <v>72</v>
      </c>
      <c r="D700" t="s">
        <v>38</v>
      </c>
      <c r="E700" t="s">
        <v>52</v>
      </c>
      <c r="F700" t="s">
        <v>46</v>
      </c>
      <c r="G700" t="s">
        <v>47</v>
      </c>
      <c r="H700" t="s">
        <v>48</v>
      </c>
      <c r="I700">
        <v>70227</v>
      </c>
      <c r="J700">
        <v>5</v>
      </c>
      <c r="K700" t="s">
        <v>34</v>
      </c>
      <c r="L700">
        <v>17682.36</v>
      </c>
      <c r="M700" t="str">
        <f t="shared" si="20"/>
        <v>Aug</v>
      </c>
      <c r="N700">
        <f t="shared" si="21"/>
        <v>2025</v>
      </c>
    </row>
    <row r="701" spans="1:14" x14ac:dyDescent="0.3">
      <c r="A701" t="s">
        <v>1076</v>
      </c>
      <c r="B701" s="5">
        <v>45815</v>
      </c>
      <c r="C701" t="s">
        <v>72</v>
      </c>
      <c r="D701" t="s">
        <v>23</v>
      </c>
      <c r="E701" t="s">
        <v>82</v>
      </c>
      <c r="F701" t="s">
        <v>17</v>
      </c>
      <c r="G701" t="s">
        <v>104</v>
      </c>
      <c r="H701" t="s">
        <v>105</v>
      </c>
      <c r="I701">
        <v>35508</v>
      </c>
      <c r="J701">
        <v>8</v>
      </c>
      <c r="K701" t="s">
        <v>49</v>
      </c>
      <c r="L701">
        <v>2970.14</v>
      </c>
      <c r="M701" t="str">
        <f t="shared" si="20"/>
        <v>Jun</v>
      </c>
      <c r="N701">
        <f t="shared" si="21"/>
        <v>2025</v>
      </c>
    </row>
    <row r="702" spans="1:14" x14ac:dyDescent="0.3">
      <c r="A702" t="s">
        <v>1077</v>
      </c>
      <c r="B702" s="5">
        <v>45926</v>
      </c>
      <c r="C702" t="s">
        <v>63</v>
      </c>
      <c r="D702" t="s">
        <v>23</v>
      </c>
      <c r="E702" t="s">
        <v>82</v>
      </c>
      <c r="F702" t="s">
        <v>25</v>
      </c>
      <c r="G702" t="s">
        <v>57</v>
      </c>
      <c r="H702" t="s">
        <v>58</v>
      </c>
      <c r="I702">
        <v>63755</v>
      </c>
      <c r="J702">
        <v>3</v>
      </c>
      <c r="K702" t="s">
        <v>49</v>
      </c>
      <c r="L702">
        <v>7795.17</v>
      </c>
      <c r="M702" t="str">
        <f t="shared" si="20"/>
        <v>Sep</v>
      </c>
      <c r="N702">
        <f t="shared" si="21"/>
        <v>2025</v>
      </c>
    </row>
    <row r="703" spans="1:14" x14ac:dyDescent="0.3">
      <c r="A703" t="s">
        <v>1078</v>
      </c>
      <c r="B703" s="5">
        <v>45907</v>
      </c>
      <c r="C703" t="s">
        <v>72</v>
      </c>
      <c r="D703" t="s">
        <v>23</v>
      </c>
      <c r="E703" t="s">
        <v>129</v>
      </c>
      <c r="F703" t="s">
        <v>46</v>
      </c>
      <c r="G703" t="s">
        <v>47</v>
      </c>
      <c r="H703" t="s">
        <v>48</v>
      </c>
      <c r="I703">
        <v>60871</v>
      </c>
      <c r="J703">
        <v>7</v>
      </c>
      <c r="K703" t="s">
        <v>20</v>
      </c>
      <c r="L703">
        <v>11736.69</v>
      </c>
      <c r="M703" t="str">
        <f t="shared" si="20"/>
        <v>Sep</v>
      </c>
      <c r="N703">
        <f t="shared" si="21"/>
        <v>2025</v>
      </c>
    </row>
    <row r="704" spans="1:14" x14ac:dyDescent="0.3">
      <c r="A704" t="s">
        <v>1080</v>
      </c>
      <c r="B704" s="5">
        <v>45906</v>
      </c>
      <c r="C704" t="s">
        <v>14</v>
      </c>
      <c r="D704" t="s">
        <v>38</v>
      </c>
      <c r="E704" t="s">
        <v>52</v>
      </c>
      <c r="F704" t="s">
        <v>46</v>
      </c>
      <c r="G704" t="s">
        <v>94</v>
      </c>
      <c r="H704" t="s">
        <v>95</v>
      </c>
      <c r="I704">
        <v>60780</v>
      </c>
      <c r="J704">
        <v>2</v>
      </c>
      <c r="K704" t="s">
        <v>20</v>
      </c>
      <c r="L704">
        <v>9954.91</v>
      </c>
      <c r="M704" t="str">
        <f t="shared" si="20"/>
        <v>Sep</v>
      </c>
      <c r="N704">
        <f t="shared" si="21"/>
        <v>2025</v>
      </c>
    </row>
    <row r="705" spans="1:14" x14ac:dyDescent="0.3">
      <c r="A705" t="s">
        <v>1081</v>
      </c>
      <c r="B705" s="5">
        <v>45999</v>
      </c>
      <c r="C705" t="s">
        <v>31</v>
      </c>
      <c r="D705" t="s">
        <v>15</v>
      </c>
      <c r="E705" t="s">
        <v>16</v>
      </c>
      <c r="F705" t="s">
        <v>25</v>
      </c>
      <c r="G705" t="s">
        <v>40</v>
      </c>
      <c r="H705" t="s">
        <v>41</v>
      </c>
      <c r="I705">
        <v>50066</v>
      </c>
      <c r="J705">
        <v>5</v>
      </c>
      <c r="K705" t="s">
        <v>20</v>
      </c>
      <c r="L705">
        <v>5544.86</v>
      </c>
      <c r="M705" t="str">
        <f t="shared" si="20"/>
        <v>Dec</v>
      </c>
      <c r="N705">
        <f t="shared" si="21"/>
        <v>2025</v>
      </c>
    </row>
    <row r="706" spans="1:14" x14ac:dyDescent="0.3">
      <c r="A706" t="s">
        <v>1082</v>
      </c>
      <c r="B706" s="5">
        <v>45769</v>
      </c>
      <c r="C706" t="s">
        <v>63</v>
      </c>
      <c r="D706" t="s">
        <v>23</v>
      </c>
      <c r="E706" t="s">
        <v>24</v>
      </c>
      <c r="F706" t="s">
        <v>25</v>
      </c>
      <c r="G706" t="s">
        <v>40</v>
      </c>
      <c r="H706" t="s">
        <v>41</v>
      </c>
      <c r="I706">
        <v>27239</v>
      </c>
      <c r="J706">
        <v>5</v>
      </c>
      <c r="K706" t="s">
        <v>53</v>
      </c>
      <c r="L706">
        <v>5480.4</v>
      </c>
      <c r="M706" t="str">
        <f t="shared" si="20"/>
        <v>Apr</v>
      </c>
      <c r="N706">
        <f t="shared" si="21"/>
        <v>2025</v>
      </c>
    </row>
    <row r="707" spans="1:14" x14ac:dyDescent="0.3">
      <c r="A707" t="s">
        <v>1084</v>
      </c>
      <c r="B707" s="5">
        <v>45913</v>
      </c>
      <c r="C707" t="s">
        <v>14</v>
      </c>
      <c r="D707" t="s">
        <v>38</v>
      </c>
      <c r="E707" t="s">
        <v>67</v>
      </c>
      <c r="F707" t="s">
        <v>46</v>
      </c>
      <c r="G707" t="s">
        <v>87</v>
      </c>
      <c r="H707" t="s">
        <v>88</v>
      </c>
      <c r="I707">
        <v>16396</v>
      </c>
      <c r="J707">
        <v>8</v>
      </c>
      <c r="K707" t="s">
        <v>53</v>
      </c>
      <c r="L707">
        <v>1487.92</v>
      </c>
      <c r="M707" t="str">
        <f t="shared" ref="M707:M770" si="22">TEXT(B707,"mmm")</f>
        <v>Sep</v>
      </c>
      <c r="N707">
        <f t="shared" ref="N707:N770" si="23">YEAR(B707)</f>
        <v>2025</v>
      </c>
    </row>
    <row r="708" spans="1:14" x14ac:dyDescent="0.3">
      <c r="A708" t="s">
        <v>1085</v>
      </c>
      <c r="B708" s="5">
        <v>45986</v>
      </c>
      <c r="C708" t="s">
        <v>91</v>
      </c>
      <c r="D708" t="s">
        <v>23</v>
      </c>
      <c r="E708" t="s">
        <v>24</v>
      </c>
      <c r="F708" t="s">
        <v>25</v>
      </c>
      <c r="G708" t="s">
        <v>26</v>
      </c>
      <c r="H708" t="s">
        <v>27</v>
      </c>
      <c r="I708">
        <v>71073</v>
      </c>
      <c r="J708">
        <v>9</v>
      </c>
      <c r="K708" t="s">
        <v>20</v>
      </c>
      <c r="L708">
        <v>7876.42</v>
      </c>
      <c r="M708" t="str">
        <f t="shared" si="22"/>
        <v>Nov</v>
      </c>
      <c r="N708">
        <f t="shared" si="23"/>
        <v>2025</v>
      </c>
    </row>
    <row r="709" spans="1:14" x14ac:dyDescent="0.3">
      <c r="A709" t="s">
        <v>1086</v>
      </c>
      <c r="B709" s="5">
        <v>45675</v>
      </c>
      <c r="C709" t="s">
        <v>44</v>
      </c>
      <c r="D709" t="s">
        <v>23</v>
      </c>
      <c r="E709" t="s">
        <v>24</v>
      </c>
      <c r="F709" t="s">
        <v>17</v>
      </c>
      <c r="G709" t="s">
        <v>104</v>
      </c>
      <c r="H709" t="s">
        <v>105</v>
      </c>
      <c r="I709">
        <v>10029</v>
      </c>
      <c r="J709">
        <v>10</v>
      </c>
      <c r="K709" t="s">
        <v>53</v>
      </c>
      <c r="L709">
        <v>966.85</v>
      </c>
      <c r="M709" t="str">
        <f t="shared" si="22"/>
        <v>Jan</v>
      </c>
      <c r="N709">
        <f t="shared" si="23"/>
        <v>2025</v>
      </c>
    </row>
    <row r="710" spans="1:14" x14ac:dyDescent="0.3">
      <c r="A710" t="s">
        <v>1087</v>
      </c>
      <c r="B710" s="5">
        <v>45877</v>
      </c>
      <c r="C710" t="s">
        <v>31</v>
      </c>
      <c r="D710" t="s">
        <v>32</v>
      </c>
      <c r="E710" t="s">
        <v>33</v>
      </c>
      <c r="F710" t="s">
        <v>46</v>
      </c>
      <c r="G710" t="s">
        <v>87</v>
      </c>
      <c r="H710" t="s">
        <v>88</v>
      </c>
      <c r="I710">
        <v>3441</v>
      </c>
      <c r="J710">
        <v>9</v>
      </c>
      <c r="K710" t="s">
        <v>53</v>
      </c>
      <c r="L710">
        <v>522.24</v>
      </c>
      <c r="M710" t="str">
        <f t="shared" si="22"/>
        <v>Aug</v>
      </c>
      <c r="N710">
        <f t="shared" si="23"/>
        <v>2025</v>
      </c>
    </row>
    <row r="711" spans="1:14" x14ac:dyDescent="0.3">
      <c r="A711" t="s">
        <v>1088</v>
      </c>
      <c r="B711" s="5">
        <v>45680</v>
      </c>
      <c r="C711" t="s">
        <v>31</v>
      </c>
      <c r="D711" t="s">
        <v>15</v>
      </c>
      <c r="E711" t="s">
        <v>16</v>
      </c>
      <c r="F711" t="s">
        <v>25</v>
      </c>
      <c r="G711" t="s">
        <v>57</v>
      </c>
      <c r="H711" t="s">
        <v>58</v>
      </c>
      <c r="I711">
        <v>60576</v>
      </c>
      <c r="J711">
        <v>7</v>
      </c>
      <c r="K711" t="s">
        <v>34</v>
      </c>
      <c r="L711">
        <v>8893.0300000000007</v>
      </c>
      <c r="M711" t="str">
        <f t="shared" si="22"/>
        <v>Jan</v>
      </c>
      <c r="N711">
        <f t="shared" si="23"/>
        <v>2025</v>
      </c>
    </row>
    <row r="712" spans="1:14" x14ac:dyDescent="0.3">
      <c r="A712" t="s">
        <v>1089</v>
      </c>
      <c r="B712" s="5">
        <v>45707</v>
      </c>
      <c r="C712" t="s">
        <v>91</v>
      </c>
      <c r="D712" t="s">
        <v>23</v>
      </c>
      <c r="E712" t="s">
        <v>129</v>
      </c>
      <c r="F712" t="s">
        <v>46</v>
      </c>
      <c r="G712" t="s">
        <v>47</v>
      </c>
      <c r="H712" t="s">
        <v>48</v>
      </c>
      <c r="I712">
        <v>74075</v>
      </c>
      <c r="J712">
        <v>7</v>
      </c>
      <c r="K712" t="s">
        <v>53</v>
      </c>
      <c r="L712">
        <v>7195.05</v>
      </c>
      <c r="M712" t="str">
        <f t="shared" si="22"/>
        <v>Feb</v>
      </c>
      <c r="N712">
        <f t="shared" si="23"/>
        <v>2025</v>
      </c>
    </row>
    <row r="713" spans="1:14" x14ac:dyDescent="0.3">
      <c r="A713" t="s">
        <v>1090</v>
      </c>
      <c r="B713" s="5">
        <v>45733</v>
      </c>
      <c r="C713" t="s">
        <v>44</v>
      </c>
      <c r="D713" t="s">
        <v>15</v>
      </c>
      <c r="E713" t="s">
        <v>16</v>
      </c>
      <c r="F713" t="s">
        <v>25</v>
      </c>
      <c r="G713" t="s">
        <v>57</v>
      </c>
      <c r="H713" t="s">
        <v>58</v>
      </c>
      <c r="I713">
        <v>58495</v>
      </c>
      <c r="J713">
        <v>5</v>
      </c>
      <c r="K713" t="s">
        <v>34</v>
      </c>
      <c r="L713">
        <v>12137.15</v>
      </c>
      <c r="M713" t="str">
        <f t="shared" si="22"/>
        <v>Mar</v>
      </c>
      <c r="N713">
        <f t="shared" si="23"/>
        <v>2025</v>
      </c>
    </row>
    <row r="714" spans="1:14" x14ac:dyDescent="0.3">
      <c r="A714" t="s">
        <v>1091</v>
      </c>
      <c r="B714" s="5">
        <v>45971</v>
      </c>
      <c r="C714" t="s">
        <v>72</v>
      </c>
      <c r="D714" t="s">
        <v>32</v>
      </c>
      <c r="E714" t="s">
        <v>45</v>
      </c>
      <c r="F714" t="s">
        <v>46</v>
      </c>
      <c r="G714" t="s">
        <v>47</v>
      </c>
      <c r="H714" t="s">
        <v>48</v>
      </c>
      <c r="I714">
        <v>7673</v>
      </c>
      <c r="J714">
        <v>3</v>
      </c>
      <c r="K714" t="s">
        <v>34</v>
      </c>
      <c r="L714">
        <v>1283.67</v>
      </c>
      <c r="M714" t="str">
        <f t="shared" si="22"/>
        <v>Nov</v>
      </c>
      <c r="N714">
        <f t="shared" si="23"/>
        <v>2025</v>
      </c>
    </row>
    <row r="715" spans="1:14" x14ac:dyDescent="0.3">
      <c r="A715" t="s">
        <v>1092</v>
      </c>
      <c r="B715" s="5">
        <v>45709</v>
      </c>
      <c r="C715" t="s">
        <v>121</v>
      </c>
      <c r="D715" t="s">
        <v>15</v>
      </c>
      <c r="E715" t="s">
        <v>73</v>
      </c>
      <c r="F715" t="s">
        <v>25</v>
      </c>
      <c r="G715" t="s">
        <v>26</v>
      </c>
      <c r="H715" t="s">
        <v>27</v>
      </c>
      <c r="I715">
        <v>68819</v>
      </c>
      <c r="J715">
        <v>7</v>
      </c>
      <c r="K715" t="s">
        <v>34</v>
      </c>
      <c r="L715">
        <v>15994.42</v>
      </c>
      <c r="M715" t="str">
        <f t="shared" si="22"/>
        <v>Feb</v>
      </c>
      <c r="N715">
        <f t="shared" si="23"/>
        <v>2025</v>
      </c>
    </row>
    <row r="716" spans="1:14" x14ac:dyDescent="0.3">
      <c r="A716" t="s">
        <v>1093</v>
      </c>
      <c r="B716" s="5">
        <v>45797</v>
      </c>
      <c r="C716" t="s">
        <v>14</v>
      </c>
      <c r="D716" t="s">
        <v>23</v>
      </c>
      <c r="E716" t="s">
        <v>24</v>
      </c>
      <c r="F716" t="s">
        <v>46</v>
      </c>
      <c r="G716" t="s">
        <v>47</v>
      </c>
      <c r="H716" t="s">
        <v>48</v>
      </c>
      <c r="I716">
        <v>15139</v>
      </c>
      <c r="J716">
        <v>10</v>
      </c>
      <c r="K716" t="s">
        <v>49</v>
      </c>
      <c r="L716">
        <v>2002.12</v>
      </c>
      <c r="M716" t="str">
        <f t="shared" si="22"/>
        <v>May</v>
      </c>
      <c r="N716">
        <f t="shared" si="23"/>
        <v>2025</v>
      </c>
    </row>
    <row r="717" spans="1:14" x14ac:dyDescent="0.3">
      <c r="A717" t="s">
        <v>1094</v>
      </c>
      <c r="B717" s="5">
        <v>45796</v>
      </c>
      <c r="C717" t="s">
        <v>31</v>
      </c>
      <c r="D717" t="s">
        <v>38</v>
      </c>
      <c r="E717" t="s">
        <v>39</v>
      </c>
      <c r="F717" t="s">
        <v>25</v>
      </c>
      <c r="G717" t="s">
        <v>57</v>
      </c>
      <c r="H717" t="s">
        <v>58</v>
      </c>
      <c r="I717">
        <v>26676</v>
      </c>
      <c r="J717">
        <v>5</v>
      </c>
      <c r="K717" t="s">
        <v>28</v>
      </c>
      <c r="L717">
        <v>6194.65</v>
      </c>
      <c r="M717" t="str">
        <f t="shared" si="22"/>
        <v>May</v>
      </c>
      <c r="N717">
        <f t="shared" si="23"/>
        <v>2025</v>
      </c>
    </row>
    <row r="718" spans="1:14" x14ac:dyDescent="0.3">
      <c r="A718" t="s">
        <v>1095</v>
      </c>
      <c r="B718" s="5">
        <v>45859</v>
      </c>
      <c r="C718" t="s">
        <v>66</v>
      </c>
      <c r="D718" t="s">
        <v>23</v>
      </c>
      <c r="E718" t="s">
        <v>129</v>
      </c>
      <c r="F718" t="s">
        <v>46</v>
      </c>
      <c r="G718" t="s">
        <v>47</v>
      </c>
      <c r="H718" t="s">
        <v>48</v>
      </c>
      <c r="I718">
        <v>51027</v>
      </c>
      <c r="J718">
        <v>5</v>
      </c>
      <c r="K718" t="s">
        <v>34</v>
      </c>
      <c r="L718">
        <v>11633.69</v>
      </c>
      <c r="M718" t="str">
        <f t="shared" si="22"/>
        <v>Jul</v>
      </c>
      <c r="N718">
        <f t="shared" si="23"/>
        <v>2025</v>
      </c>
    </row>
    <row r="719" spans="1:14" x14ac:dyDescent="0.3">
      <c r="A719" t="s">
        <v>1096</v>
      </c>
      <c r="B719" s="5">
        <v>45660</v>
      </c>
      <c r="C719" t="s">
        <v>44</v>
      </c>
      <c r="D719" t="s">
        <v>32</v>
      </c>
      <c r="E719" t="s">
        <v>33</v>
      </c>
      <c r="F719" t="s">
        <v>25</v>
      </c>
      <c r="G719" t="s">
        <v>57</v>
      </c>
      <c r="H719" t="s">
        <v>58</v>
      </c>
      <c r="I719">
        <v>47347</v>
      </c>
      <c r="J719">
        <v>3</v>
      </c>
      <c r="K719" t="s">
        <v>34</v>
      </c>
      <c r="L719">
        <v>7480.51</v>
      </c>
      <c r="M719" t="str">
        <f t="shared" si="22"/>
        <v>Jan</v>
      </c>
      <c r="N719">
        <f t="shared" si="23"/>
        <v>2025</v>
      </c>
    </row>
    <row r="720" spans="1:14" x14ac:dyDescent="0.3">
      <c r="A720" t="s">
        <v>1097</v>
      </c>
      <c r="B720" s="5">
        <v>45668</v>
      </c>
      <c r="C720" t="s">
        <v>63</v>
      </c>
      <c r="D720" t="s">
        <v>15</v>
      </c>
      <c r="E720" t="s">
        <v>154</v>
      </c>
      <c r="F720" t="s">
        <v>25</v>
      </c>
      <c r="G720" t="s">
        <v>26</v>
      </c>
      <c r="H720" t="s">
        <v>27</v>
      </c>
      <c r="I720">
        <v>6004</v>
      </c>
      <c r="J720">
        <v>4</v>
      </c>
      <c r="K720" t="s">
        <v>49</v>
      </c>
      <c r="L720">
        <v>1376.37</v>
      </c>
      <c r="M720" t="str">
        <f t="shared" si="22"/>
        <v>Jan</v>
      </c>
      <c r="N720">
        <f t="shared" si="23"/>
        <v>2025</v>
      </c>
    </row>
    <row r="721" spans="1:14" x14ac:dyDescent="0.3">
      <c r="A721" t="s">
        <v>1098</v>
      </c>
      <c r="B721" s="5">
        <v>45895</v>
      </c>
      <c r="C721" t="s">
        <v>56</v>
      </c>
      <c r="D721" t="s">
        <v>23</v>
      </c>
      <c r="E721" t="s">
        <v>129</v>
      </c>
      <c r="F721" t="s">
        <v>25</v>
      </c>
      <c r="G721" t="s">
        <v>57</v>
      </c>
      <c r="H721" t="s">
        <v>58</v>
      </c>
      <c r="I721">
        <v>60590</v>
      </c>
      <c r="J721">
        <v>8</v>
      </c>
      <c r="K721" t="s">
        <v>34</v>
      </c>
      <c r="L721">
        <v>12826.78</v>
      </c>
      <c r="M721" t="str">
        <f t="shared" si="22"/>
        <v>Aug</v>
      </c>
      <c r="N721">
        <f t="shared" si="23"/>
        <v>2025</v>
      </c>
    </row>
    <row r="722" spans="1:14" x14ac:dyDescent="0.3">
      <c r="A722" t="s">
        <v>1100</v>
      </c>
      <c r="B722" s="5">
        <v>45957</v>
      </c>
      <c r="C722" t="s">
        <v>44</v>
      </c>
      <c r="D722" t="s">
        <v>38</v>
      </c>
      <c r="E722" t="s">
        <v>52</v>
      </c>
      <c r="F722" t="s">
        <v>17</v>
      </c>
      <c r="G722" t="s">
        <v>104</v>
      </c>
      <c r="H722" t="s">
        <v>105</v>
      </c>
      <c r="I722">
        <v>5378</v>
      </c>
      <c r="J722">
        <v>10</v>
      </c>
      <c r="K722" t="s">
        <v>53</v>
      </c>
      <c r="L722">
        <v>517.62</v>
      </c>
      <c r="M722" t="str">
        <f t="shared" si="22"/>
        <v>Oct</v>
      </c>
      <c r="N722">
        <f t="shared" si="23"/>
        <v>2025</v>
      </c>
    </row>
    <row r="723" spans="1:14" x14ac:dyDescent="0.3">
      <c r="A723" t="s">
        <v>1101</v>
      </c>
      <c r="B723" s="5">
        <v>45898</v>
      </c>
      <c r="C723" t="s">
        <v>63</v>
      </c>
      <c r="D723" t="s">
        <v>23</v>
      </c>
      <c r="E723" t="s">
        <v>24</v>
      </c>
      <c r="F723" t="s">
        <v>25</v>
      </c>
      <c r="G723" t="s">
        <v>26</v>
      </c>
      <c r="H723" t="s">
        <v>27</v>
      </c>
      <c r="I723">
        <v>43147</v>
      </c>
      <c r="J723">
        <v>4</v>
      </c>
      <c r="K723" t="s">
        <v>34</v>
      </c>
      <c r="L723">
        <v>3368.28</v>
      </c>
      <c r="M723" t="str">
        <f t="shared" si="22"/>
        <v>Aug</v>
      </c>
      <c r="N723">
        <f t="shared" si="23"/>
        <v>2025</v>
      </c>
    </row>
    <row r="724" spans="1:14" x14ac:dyDescent="0.3">
      <c r="A724" t="s">
        <v>1102</v>
      </c>
      <c r="B724" s="5">
        <v>45924</v>
      </c>
      <c r="C724" t="s">
        <v>63</v>
      </c>
      <c r="D724" t="s">
        <v>38</v>
      </c>
      <c r="E724" t="s">
        <v>52</v>
      </c>
      <c r="F724" t="s">
        <v>25</v>
      </c>
      <c r="G724" t="s">
        <v>40</v>
      </c>
      <c r="H724" t="s">
        <v>41</v>
      </c>
      <c r="I724">
        <v>11585</v>
      </c>
      <c r="J724">
        <v>3</v>
      </c>
      <c r="K724" t="s">
        <v>49</v>
      </c>
      <c r="L724">
        <v>906.68</v>
      </c>
      <c r="M724" t="str">
        <f t="shared" si="22"/>
        <v>Sep</v>
      </c>
      <c r="N724">
        <f t="shared" si="23"/>
        <v>2025</v>
      </c>
    </row>
    <row r="725" spans="1:14" x14ac:dyDescent="0.3">
      <c r="A725" t="s">
        <v>1103</v>
      </c>
      <c r="B725" s="5">
        <v>45753</v>
      </c>
      <c r="C725" t="s">
        <v>44</v>
      </c>
      <c r="D725" t="s">
        <v>38</v>
      </c>
      <c r="E725" t="s">
        <v>39</v>
      </c>
      <c r="F725" t="s">
        <v>46</v>
      </c>
      <c r="G725" t="s">
        <v>87</v>
      </c>
      <c r="H725" t="s">
        <v>88</v>
      </c>
      <c r="I725">
        <v>20000</v>
      </c>
      <c r="J725">
        <v>10</v>
      </c>
      <c r="K725" t="s">
        <v>34</v>
      </c>
      <c r="L725">
        <v>3532.45</v>
      </c>
      <c r="M725" t="str">
        <f t="shared" si="22"/>
        <v>Apr</v>
      </c>
      <c r="N725">
        <f t="shared" si="23"/>
        <v>2025</v>
      </c>
    </row>
    <row r="726" spans="1:14" x14ac:dyDescent="0.3">
      <c r="A726" t="s">
        <v>1104</v>
      </c>
      <c r="B726" s="5">
        <v>45942</v>
      </c>
      <c r="C726" t="s">
        <v>66</v>
      </c>
      <c r="D726" t="s">
        <v>23</v>
      </c>
      <c r="E726" t="s">
        <v>82</v>
      </c>
      <c r="F726" t="s">
        <v>25</v>
      </c>
      <c r="G726" t="s">
        <v>40</v>
      </c>
      <c r="H726" t="s">
        <v>41</v>
      </c>
      <c r="I726">
        <v>69712</v>
      </c>
      <c r="J726">
        <v>7</v>
      </c>
      <c r="K726" t="s">
        <v>20</v>
      </c>
      <c r="L726">
        <v>15129.67</v>
      </c>
      <c r="M726" t="str">
        <f t="shared" si="22"/>
        <v>Oct</v>
      </c>
      <c r="N726">
        <f t="shared" si="23"/>
        <v>2025</v>
      </c>
    </row>
    <row r="727" spans="1:14" x14ac:dyDescent="0.3">
      <c r="A727" t="s">
        <v>1105</v>
      </c>
      <c r="B727" s="5">
        <v>45694</v>
      </c>
      <c r="C727" t="s">
        <v>37</v>
      </c>
      <c r="D727" t="s">
        <v>15</v>
      </c>
      <c r="E727" t="s">
        <v>16</v>
      </c>
      <c r="F727" t="s">
        <v>17</v>
      </c>
      <c r="G727" t="s">
        <v>76</v>
      </c>
      <c r="H727" t="s">
        <v>77</v>
      </c>
      <c r="I727">
        <v>76357</v>
      </c>
      <c r="J727">
        <v>8</v>
      </c>
      <c r="K727" t="s">
        <v>20</v>
      </c>
      <c r="L727">
        <v>15651.59</v>
      </c>
      <c r="M727" t="str">
        <f t="shared" si="22"/>
        <v>Feb</v>
      </c>
      <c r="N727">
        <f t="shared" si="23"/>
        <v>2025</v>
      </c>
    </row>
    <row r="728" spans="1:14" x14ac:dyDescent="0.3">
      <c r="A728" t="s">
        <v>1106</v>
      </c>
      <c r="B728" s="5">
        <v>45859</v>
      </c>
      <c r="C728" t="s">
        <v>72</v>
      </c>
      <c r="D728" t="s">
        <v>38</v>
      </c>
      <c r="E728" t="s">
        <v>52</v>
      </c>
      <c r="F728" t="s">
        <v>46</v>
      </c>
      <c r="G728" t="s">
        <v>94</v>
      </c>
      <c r="H728" t="s">
        <v>95</v>
      </c>
      <c r="I728">
        <v>68400</v>
      </c>
      <c r="J728">
        <v>10</v>
      </c>
      <c r="K728" t="s">
        <v>53</v>
      </c>
      <c r="L728">
        <v>12899.79</v>
      </c>
      <c r="M728" t="str">
        <f t="shared" si="22"/>
        <v>Jul</v>
      </c>
      <c r="N728">
        <f t="shared" si="23"/>
        <v>2025</v>
      </c>
    </row>
    <row r="729" spans="1:14" x14ac:dyDescent="0.3">
      <c r="A729" t="s">
        <v>1107</v>
      </c>
      <c r="B729" s="5">
        <v>45858</v>
      </c>
      <c r="C729" t="s">
        <v>14</v>
      </c>
      <c r="D729" t="s">
        <v>15</v>
      </c>
      <c r="E729" t="s">
        <v>73</v>
      </c>
      <c r="F729" t="s">
        <v>25</v>
      </c>
      <c r="G729" t="s">
        <v>26</v>
      </c>
      <c r="H729" t="s">
        <v>27</v>
      </c>
      <c r="I729">
        <v>11739</v>
      </c>
      <c r="J729">
        <v>9</v>
      </c>
      <c r="K729" t="s">
        <v>49</v>
      </c>
      <c r="L729">
        <v>2433.0500000000002</v>
      </c>
      <c r="M729" t="str">
        <f t="shared" si="22"/>
        <v>Jul</v>
      </c>
      <c r="N729">
        <f t="shared" si="23"/>
        <v>2025</v>
      </c>
    </row>
    <row r="730" spans="1:14" x14ac:dyDescent="0.3">
      <c r="A730" t="s">
        <v>1109</v>
      </c>
      <c r="B730" s="5">
        <v>45733</v>
      </c>
      <c r="C730" t="s">
        <v>44</v>
      </c>
      <c r="D730" t="s">
        <v>32</v>
      </c>
      <c r="E730" t="s">
        <v>116</v>
      </c>
      <c r="F730" t="s">
        <v>17</v>
      </c>
      <c r="G730" t="s">
        <v>104</v>
      </c>
      <c r="H730" t="s">
        <v>105</v>
      </c>
      <c r="I730">
        <v>48259</v>
      </c>
      <c r="J730">
        <v>1</v>
      </c>
      <c r="K730" t="s">
        <v>34</v>
      </c>
      <c r="L730">
        <v>4351.78</v>
      </c>
      <c r="M730" t="str">
        <f t="shared" si="22"/>
        <v>Mar</v>
      </c>
      <c r="N730">
        <f t="shared" si="23"/>
        <v>2025</v>
      </c>
    </row>
    <row r="731" spans="1:14" x14ac:dyDescent="0.3">
      <c r="A731" t="s">
        <v>1110</v>
      </c>
      <c r="B731" s="5">
        <v>45744</v>
      </c>
      <c r="C731" t="s">
        <v>31</v>
      </c>
      <c r="D731" t="s">
        <v>15</v>
      </c>
      <c r="E731" t="s">
        <v>154</v>
      </c>
      <c r="F731" t="s">
        <v>25</v>
      </c>
      <c r="G731" t="s">
        <v>26</v>
      </c>
      <c r="H731" t="s">
        <v>27</v>
      </c>
      <c r="I731">
        <v>5958</v>
      </c>
      <c r="J731">
        <v>8</v>
      </c>
      <c r="K731" t="s">
        <v>34</v>
      </c>
      <c r="L731">
        <v>554.97</v>
      </c>
      <c r="M731" t="str">
        <f t="shared" si="22"/>
        <v>Mar</v>
      </c>
      <c r="N731">
        <f t="shared" si="23"/>
        <v>2025</v>
      </c>
    </row>
    <row r="732" spans="1:14" x14ac:dyDescent="0.3">
      <c r="A732" t="s">
        <v>1111</v>
      </c>
      <c r="B732" s="5">
        <v>45888</v>
      </c>
      <c r="C732" t="s">
        <v>31</v>
      </c>
      <c r="D732" t="s">
        <v>15</v>
      </c>
      <c r="E732" t="s">
        <v>154</v>
      </c>
      <c r="F732" t="s">
        <v>46</v>
      </c>
      <c r="G732" t="s">
        <v>87</v>
      </c>
      <c r="H732" t="s">
        <v>88</v>
      </c>
      <c r="I732">
        <v>67888</v>
      </c>
      <c r="J732">
        <v>8</v>
      </c>
      <c r="K732" t="s">
        <v>34</v>
      </c>
      <c r="L732">
        <v>7143.24</v>
      </c>
      <c r="M732" t="str">
        <f t="shared" si="22"/>
        <v>Aug</v>
      </c>
      <c r="N732">
        <f t="shared" si="23"/>
        <v>2025</v>
      </c>
    </row>
    <row r="733" spans="1:14" x14ac:dyDescent="0.3">
      <c r="A733" t="s">
        <v>1112</v>
      </c>
      <c r="B733" s="5">
        <v>45987</v>
      </c>
      <c r="C733" t="s">
        <v>31</v>
      </c>
      <c r="D733" t="s">
        <v>32</v>
      </c>
      <c r="E733" t="s">
        <v>116</v>
      </c>
      <c r="F733" t="s">
        <v>25</v>
      </c>
      <c r="G733" t="s">
        <v>26</v>
      </c>
      <c r="H733" t="s">
        <v>27</v>
      </c>
      <c r="I733">
        <v>12945</v>
      </c>
      <c r="J733">
        <v>4</v>
      </c>
      <c r="K733" t="s">
        <v>49</v>
      </c>
      <c r="L733">
        <v>2432.71</v>
      </c>
      <c r="M733" t="str">
        <f t="shared" si="22"/>
        <v>Nov</v>
      </c>
      <c r="N733">
        <f t="shared" si="23"/>
        <v>2025</v>
      </c>
    </row>
    <row r="734" spans="1:14" x14ac:dyDescent="0.3">
      <c r="A734" t="s">
        <v>1113</v>
      </c>
      <c r="B734" s="5">
        <v>45888</v>
      </c>
      <c r="C734" t="s">
        <v>66</v>
      </c>
      <c r="D734" t="s">
        <v>38</v>
      </c>
      <c r="E734" t="s">
        <v>52</v>
      </c>
      <c r="F734" t="s">
        <v>46</v>
      </c>
      <c r="G734" t="s">
        <v>87</v>
      </c>
      <c r="H734" t="s">
        <v>88</v>
      </c>
      <c r="I734">
        <v>55477</v>
      </c>
      <c r="J734">
        <v>1</v>
      </c>
      <c r="K734" t="s">
        <v>53</v>
      </c>
      <c r="L734">
        <v>9769.36</v>
      </c>
      <c r="M734" t="str">
        <f t="shared" si="22"/>
        <v>Aug</v>
      </c>
      <c r="N734">
        <f t="shared" si="23"/>
        <v>2025</v>
      </c>
    </row>
    <row r="735" spans="1:14" x14ac:dyDescent="0.3">
      <c r="A735" t="s">
        <v>1114</v>
      </c>
      <c r="B735" s="5">
        <v>46014</v>
      </c>
      <c r="C735" t="s">
        <v>37</v>
      </c>
      <c r="D735" t="s">
        <v>32</v>
      </c>
      <c r="E735" t="s">
        <v>116</v>
      </c>
      <c r="F735" t="s">
        <v>46</v>
      </c>
      <c r="G735" t="s">
        <v>94</v>
      </c>
      <c r="H735" t="s">
        <v>95</v>
      </c>
      <c r="I735">
        <v>5197</v>
      </c>
      <c r="J735">
        <v>10</v>
      </c>
      <c r="K735" t="s">
        <v>53</v>
      </c>
      <c r="L735">
        <v>898.53</v>
      </c>
      <c r="M735" t="str">
        <f t="shared" si="22"/>
        <v>Dec</v>
      </c>
      <c r="N735">
        <f t="shared" si="23"/>
        <v>2025</v>
      </c>
    </row>
    <row r="736" spans="1:14" x14ac:dyDescent="0.3">
      <c r="A736" t="s">
        <v>1116</v>
      </c>
      <c r="B736" s="5">
        <v>45889</v>
      </c>
      <c r="C736" t="s">
        <v>121</v>
      </c>
      <c r="D736" t="s">
        <v>23</v>
      </c>
      <c r="E736" t="s">
        <v>129</v>
      </c>
      <c r="F736" t="s">
        <v>46</v>
      </c>
      <c r="G736" t="s">
        <v>87</v>
      </c>
      <c r="H736" t="s">
        <v>88</v>
      </c>
      <c r="I736">
        <v>17994</v>
      </c>
      <c r="J736">
        <v>1</v>
      </c>
      <c r="K736" t="s">
        <v>49</v>
      </c>
      <c r="L736">
        <v>2319.66</v>
      </c>
      <c r="M736" t="str">
        <f t="shared" si="22"/>
        <v>Aug</v>
      </c>
      <c r="N736">
        <f t="shared" si="23"/>
        <v>2025</v>
      </c>
    </row>
    <row r="737" spans="1:14" x14ac:dyDescent="0.3">
      <c r="A737" t="s">
        <v>1117</v>
      </c>
      <c r="B737" s="5">
        <v>45917</v>
      </c>
      <c r="C737" t="s">
        <v>56</v>
      </c>
      <c r="D737" t="s">
        <v>38</v>
      </c>
      <c r="E737" t="s">
        <v>39</v>
      </c>
      <c r="F737" t="s">
        <v>46</v>
      </c>
      <c r="G737" t="s">
        <v>87</v>
      </c>
      <c r="H737" t="s">
        <v>88</v>
      </c>
      <c r="I737">
        <v>50463</v>
      </c>
      <c r="J737">
        <v>7</v>
      </c>
      <c r="K737" t="s">
        <v>20</v>
      </c>
      <c r="L737">
        <v>8597.76</v>
      </c>
      <c r="M737" t="str">
        <f t="shared" si="22"/>
        <v>Sep</v>
      </c>
      <c r="N737">
        <f t="shared" si="23"/>
        <v>2025</v>
      </c>
    </row>
    <row r="738" spans="1:14" x14ac:dyDescent="0.3">
      <c r="A738" t="s">
        <v>1118</v>
      </c>
      <c r="B738" s="5">
        <v>45990</v>
      </c>
      <c r="C738" t="s">
        <v>37</v>
      </c>
      <c r="D738" t="s">
        <v>32</v>
      </c>
      <c r="E738" t="s">
        <v>33</v>
      </c>
      <c r="F738" t="s">
        <v>17</v>
      </c>
      <c r="G738" t="s">
        <v>18</v>
      </c>
      <c r="H738" t="s">
        <v>19</v>
      </c>
      <c r="I738">
        <v>67695</v>
      </c>
      <c r="J738">
        <v>10</v>
      </c>
      <c r="K738" t="s">
        <v>53</v>
      </c>
      <c r="L738">
        <v>15099</v>
      </c>
      <c r="M738" t="str">
        <f t="shared" si="22"/>
        <v>Nov</v>
      </c>
      <c r="N738">
        <f t="shared" si="23"/>
        <v>2025</v>
      </c>
    </row>
    <row r="739" spans="1:14" x14ac:dyDescent="0.3">
      <c r="A739" t="s">
        <v>1119</v>
      </c>
      <c r="B739" s="5">
        <v>45682</v>
      </c>
      <c r="C739" t="s">
        <v>14</v>
      </c>
      <c r="D739" t="s">
        <v>23</v>
      </c>
      <c r="E739" t="s">
        <v>129</v>
      </c>
      <c r="F739" t="s">
        <v>17</v>
      </c>
      <c r="G739" t="s">
        <v>104</v>
      </c>
      <c r="H739" t="s">
        <v>105</v>
      </c>
      <c r="I739">
        <v>76969</v>
      </c>
      <c r="J739">
        <v>4</v>
      </c>
      <c r="K739" t="s">
        <v>20</v>
      </c>
      <c r="L739">
        <v>8098.91</v>
      </c>
      <c r="M739" t="str">
        <f t="shared" si="22"/>
        <v>Jan</v>
      </c>
      <c r="N739">
        <f t="shared" si="23"/>
        <v>2025</v>
      </c>
    </row>
    <row r="740" spans="1:14" x14ac:dyDescent="0.3">
      <c r="A740" t="s">
        <v>1120</v>
      </c>
      <c r="B740" s="5">
        <v>45870</v>
      </c>
      <c r="C740" t="s">
        <v>37</v>
      </c>
      <c r="D740" t="s">
        <v>15</v>
      </c>
      <c r="E740" t="s">
        <v>73</v>
      </c>
      <c r="F740" t="s">
        <v>25</v>
      </c>
      <c r="G740" t="s">
        <v>57</v>
      </c>
      <c r="H740" t="s">
        <v>58</v>
      </c>
      <c r="I740">
        <v>37188</v>
      </c>
      <c r="J740">
        <v>1</v>
      </c>
      <c r="K740" t="s">
        <v>49</v>
      </c>
      <c r="L740">
        <v>6881.23</v>
      </c>
      <c r="M740" t="str">
        <f t="shared" si="22"/>
        <v>Aug</v>
      </c>
      <c r="N740">
        <f t="shared" si="23"/>
        <v>2025</v>
      </c>
    </row>
    <row r="741" spans="1:14" x14ac:dyDescent="0.3">
      <c r="A741" t="s">
        <v>1121</v>
      </c>
      <c r="B741" s="5">
        <v>45852</v>
      </c>
      <c r="C741" t="s">
        <v>66</v>
      </c>
      <c r="D741" t="s">
        <v>15</v>
      </c>
      <c r="E741" t="s">
        <v>154</v>
      </c>
      <c r="F741" t="s">
        <v>46</v>
      </c>
      <c r="G741" t="s">
        <v>94</v>
      </c>
      <c r="H741" t="s">
        <v>95</v>
      </c>
      <c r="I741">
        <v>63207</v>
      </c>
      <c r="J741">
        <v>6</v>
      </c>
      <c r="K741" t="s">
        <v>20</v>
      </c>
      <c r="L741">
        <v>11780.4</v>
      </c>
      <c r="M741" t="str">
        <f t="shared" si="22"/>
        <v>Jul</v>
      </c>
      <c r="N741">
        <f t="shared" si="23"/>
        <v>2025</v>
      </c>
    </row>
    <row r="742" spans="1:14" x14ac:dyDescent="0.3">
      <c r="A742" t="s">
        <v>1122</v>
      </c>
      <c r="B742" s="5">
        <v>45898</v>
      </c>
      <c r="C742" t="s">
        <v>66</v>
      </c>
      <c r="D742" t="s">
        <v>15</v>
      </c>
      <c r="E742" t="s">
        <v>154</v>
      </c>
      <c r="F742" t="s">
        <v>46</v>
      </c>
      <c r="G742" t="s">
        <v>94</v>
      </c>
      <c r="H742" t="s">
        <v>95</v>
      </c>
      <c r="I742">
        <v>64940</v>
      </c>
      <c r="J742">
        <v>1</v>
      </c>
      <c r="K742" t="s">
        <v>20</v>
      </c>
      <c r="L742">
        <v>8161.97</v>
      </c>
      <c r="M742" t="str">
        <f t="shared" si="22"/>
        <v>Aug</v>
      </c>
      <c r="N742">
        <f t="shared" si="23"/>
        <v>2025</v>
      </c>
    </row>
    <row r="743" spans="1:14" x14ac:dyDescent="0.3">
      <c r="A743" t="s">
        <v>1123</v>
      </c>
      <c r="B743" s="5">
        <v>45674</v>
      </c>
      <c r="C743" t="s">
        <v>66</v>
      </c>
      <c r="D743" t="s">
        <v>32</v>
      </c>
      <c r="E743" t="s">
        <v>33</v>
      </c>
      <c r="F743" t="s">
        <v>17</v>
      </c>
      <c r="G743" t="s">
        <v>18</v>
      </c>
      <c r="H743" t="s">
        <v>19</v>
      </c>
      <c r="I743">
        <v>35361</v>
      </c>
      <c r="J743">
        <v>5</v>
      </c>
      <c r="K743" t="s">
        <v>49</v>
      </c>
      <c r="L743">
        <v>9160.2800000000007</v>
      </c>
      <c r="M743" t="str">
        <f t="shared" si="22"/>
        <v>Jan</v>
      </c>
      <c r="N743">
        <f t="shared" si="23"/>
        <v>2025</v>
      </c>
    </row>
    <row r="744" spans="1:14" x14ac:dyDescent="0.3">
      <c r="A744" t="s">
        <v>1124</v>
      </c>
      <c r="B744" s="5">
        <v>45864</v>
      </c>
      <c r="C744" t="s">
        <v>63</v>
      </c>
      <c r="D744" t="s">
        <v>23</v>
      </c>
      <c r="E744" t="s">
        <v>82</v>
      </c>
      <c r="F744" t="s">
        <v>17</v>
      </c>
      <c r="G744" t="s">
        <v>18</v>
      </c>
      <c r="H744" t="s">
        <v>19</v>
      </c>
      <c r="I744">
        <v>18070</v>
      </c>
      <c r="J744">
        <v>9</v>
      </c>
      <c r="K744" t="s">
        <v>49</v>
      </c>
      <c r="L744">
        <v>2655.57</v>
      </c>
      <c r="M744" t="str">
        <f t="shared" si="22"/>
        <v>Jul</v>
      </c>
      <c r="N744">
        <f t="shared" si="23"/>
        <v>2025</v>
      </c>
    </row>
    <row r="745" spans="1:14" x14ac:dyDescent="0.3">
      <c r="A745" t="s">
        <v>1126</v>
      </c>
      <c r="B745" s="5">
        <v>45816</v>
      </c>
      <c r="C745" t="s">
        <v>91</v>
      </c>
      <c r="D745" t="s">
        <v>38</v>
      </c>
      <c r="E745" t="s">
        <v>67</v>
      </c>
      <c r="F745" t="s">
        <v>46</v>
      </c>
      <c r="G745" t="s">
        <v>47</v>
      </c>
      <c r="H745" t="s">
        <v>48</v>
      </c>
      <c r="I745">
        <v>26436</v>
      </c>
      <c r="J745">
        <v>6</v>
      </c>
      <c r="K745" t="s">
        <v>53</v>
      </c>
      <c r="L745">
        <v>3757.59</v>
      </c>
      <c r="M745" t="str">
        <f t="shared" si="22"/>
        <v>Jun</v>
      </c>
      <c r="N745">
        <f t="shared" si="23"/>
        <v>2025</v>
      </c>
    </row>
    <row r="746" spans="1:14" x14ac:dyDescent="0.3">
      <c r="A746" t="s">
        <v>1127</v>
      </c>
      <c r="B746" s="5">
        <v>45750</v>
      </c>
      <c r="C746" t="s">
        <v>66</v>
      </c>
      <c r="D746" t="s">
        <v>32</v>
      </c>
      <c r="E746" t="s">
        <v>45</v>
      </c>
      <c r="F746" t="s">
        <v>17</v>
      </c>
      <c r="G746" t="s">
        <v>76</v>
      </c>
      <c r="H746" t="s">
        <v>77</v>
      </c>
      <c r="I746">
        <v>6418</v>
      </c>
      <c r="J746">
        <v>4</v>
      </c>
      <c r="K746" t="s">
        <v>28</v>
      </c>
      <c r="L746">
        <v>571.26</v>
      </c>
      <c r="M746" t="str">
        <f t="shared" si="22"/>
        <v>Apr</v>
      </c>
      <c r="N746">
        <f t="shared" si="23"/>
        <v>2025</v>
      </c>
    </row>
    <row r="747" spans="1:14" x14ac:dyDescent="0.3">
      <c r="A747" t="s">
        <v>1128</v>
      </c>
      <c r="B747" s="5">
        <v>45775</v>
      </c>
      <c r="C747" t="s">
        <v>121</v>
      </c>
      <c r="D747" t="s">
        <v>15</v>
      </c>
      <c r="E747" t="s">
        <v>73</v>
      </c>
      <c r="F747" t="s">
        <v>25</v>
      </c>
      <c r="G747" t="s">
        <v>26</v>
      </c>
      <c r="H747" t="s">
        <v>27</v>
      </c>
      <c r="I747">
        <v>27535</v>
      </c>
      <c r="J747">
        <v>2</v>
      </c>
      <c r="K747" t="s">
        <v>53</v>
      </c>
      <c r="L747">
        <v>5442.69</v>
      </c>
      <c r="M747" t="str">
        <f t="shared" si="22"/>
        <v>Apr</v>
      </c>
      <c r="N747">
        <f t="shared" si="23"/>
        <v>2025</v>
      </c>
    </row>
    <row r="748" spans="1:14" x14ac:dyDescent="0.3">
      <c r="A748" t="s">
        <v>1129</v>
      </c>
      <c r="B748" s="5">
        <v>46012</v>
      </c>
      <c r="C748" t="s">
        <v>66</v>
      </c>
      <c r="D748" t="s">
        <v>15</v>
      </c>
      <c r="E748" t="s">
        <v>16</v>
      </c>
      <c r="F748" t="s">
        <v>25</v>
      </c>
      <c r="G748" t="s">
        <v>57</v>
      </c>
      <c r="H748" t="s">
        <v>58</v>
      </c>
      <c r="I748">
        <v>51397</v>
      </c>
      <c r="J748">
        <v>1</v>
      </c>
      <c r="K748" t="s">
        <v>28</v>
      </c>
      <c r="L748">
        <v>10585.48</v>
      </c>
      <c r="M748" t="str">
        <f t="shared" si="22"/>
        <v>Dec</v>
      </c>
      <c r="N748">
        <f t="shared" si="23"/>
        <v>2025</v>
      </c>
    </row>
    <row r="749" spans="1:14" x14ac:dyDescent="0.3">
      <c r="A749" t="s">
        <v>1130</v>
      </c>
      <c r="B749" s="5">
        <v>45944</v>
      </c>
      <c r="C749" t="s">
        <v>91</v>
      </c>
      <c r="D749" t="s">
        <v>23</v>
      </c>
      <c r="E749" t="s">
        <v>24</v>
      </c>
      <c r="F749" t="s">
        <v>25</v>
      </c>
      <c r="G749" t="s">
        <v>40</v>
      </c>
      <c r="H749" t="s">
        <v>41</v>
      </c>
      <c r="I749">
        <v>57896</v>
      </c>
      <c r="J749">
        <v>6</v>
      </c>
      <c r="K749" t="s">
        <v>49</v>
      </c>
      <c r="L749">
        <v>10439.030000000001</v>
      </c>
      <c r="M749" t="str">
        <f t="shared" si="22"/>
        <v>Oct</v>
      </c>
      <c r="N749">
        <f t="shared" si="23"/>
        <v>2025</v>
      </c>
    </row>
    <row r="750" spans="1:14" x14ac:dyDescent="0.3">
      <c r="A750" t="s">
        <v>1131</v>
      </c>
      <c r="B750" s="5">
        <v>45795</v>
      </c>
      <c r="C750" t="s">
        <v>56</v>
      </c>
      <c r="D750" t="s">
        <v>32</v>
      </c>
      <c r="E750" t="s">
        <v>33</v>
      </c>
      <c r="F750" t="s">
        <v>25</v>
      </c>
      <c r="G750" t="s">
        <v>40</v>
      </c>
      <c r="H750" t="s">
        <v>41</v>
      </c>
      <c r="I750">
        <v>19313</v>
      </c>
      <c r="J750">
        <v>5</v>
      </c>
      <c r="K750" t="s">
        <v>20</v>
      </c>
      <c r="L750">
        <v>1638.43</v>
      </c>
      <c r="M750" t="str">
        <f t="shared" si="22"/>
        <v>May</v>
      </c>
      <c r="N750">
        <f t="shared" si="23"/>
        <v>2025</v>
      </c>
    </row>
    <row r="751" spans="1:14" x14ac:dyDescent="0.3">
      <c r="A751" t="s">
        <v>1132</v>
      </c>
      <c r="B751" s="5">
        <v>45835</v>
      </c>
      <c r="C751" t="s">
        <v>91</v>
      </c>
      <c r="D751" t="s">
        <v>38</v>
      </c>
      <c r="E751" t="s">
        <v>67</v>
      </c>
      <c r="F751" t="s">
        <v>17</v>
      </c>
      <c r="G751" t="s">
        <v>76</v>
      </c>
      <c r="H751" t="s">
        <v>77</v>
      </c>
      <c r="I751">
        <v>74830</v>
      </c>
      <c r="J751">
        <v>10</v>
      </c>
      <c r="K751" t="s">
        <v>28</v>
      </c>
      <c r="L751">
        <v>13793.76</v>
      </c>
      <c r="M751" t="str">
        <f t="shared" si="22"/>
        <v>Jun</v>
      </c>
      <c r="N751">
        <f t="shared" si="23"/>
        <v>2025</v>
      </c>
    </row>
    <row r="752" spans="1:14" x14ac:dyDescent="0.3">
      <c r="A752" t="s">
        <v>1133</v>
      </c>
      <c r="B752" s="5">
        <v>45659</v>
      </c>
      <c r="C752" t="s">
        <v>37</v>
      </c>
      <c r="D752" t="s">
        <v>32</v>
      </c>
      <c r="E752" t="s">
        <v>33</v>
      </c>
      <c r="F752" t="s">
        <v>25</v>
      </c>
      <c r="G752" t="s">
        <v>26</v>
      </c>
      <c r="H752" t="s">
        <v>27</v>
      </c>
      <c r="I752">
        <v>16841</v>
      </c>
      <c r="J752">
        <v>5</v>
      </c>
      <c r="K752" t="s">
        <v>53</v>
      </c>
      <c r="L752">
        <v>1369.99</v>
      </c>
      <c r="M752" t="str">
        <f t="shared" si="22"/>
        <v>Jan</v>
      </c>
      <c r="N752">
        <f t="shared" si="23"/>
        <v>2025</v>
      </c>
    </row>
    <row r="753" spans="1:14" x14ac:dyDescent="0.3">
      <c r="A753" t="s">
        <v>1134</v>
      </c>
      <c r="B753" s="5">
        <v>45673</v>
      </c>
      <c r="C753" t="s">
        <v>31</v>
      </c>
      <c r="D753" t="s">
        <v>38</v>
      </c>
      <c r="E753" t="s">
        <v>52</v>
      </c>
      <c r="F753" t="s">
        <v>25</v>
      </c>
      <c r="G753" t="s">
        <v>57</v>
      </c>
      <c r="H753" t="s">
        <v>58</v>
      </c>
      <c r="I753">
        <v>61145</v>
      </c>
      <c r="J753">
        <v>4</v>
      </c>
      <c r="K753" t="s">
        <v>53</v>
      </c>
      <c r="L753">
        <v>12004</v>
      </c>
      <c r="M753" t="str">
        <f t="shared" si="22"/>
        <v>Jan</v>
      </c>
      <c r="N753">
        <f t="shared" si="23"/>
        <v>2025</v>
      </c>
    </row>
    <row r="754" spans="1:14" x14ac:dyDescent="0.3">
      <c r="A754" t="s">
        <v>1135</v>
      </c>
      <c r="B754" s="5">
        <v>45701</v>
      </c>
      <c r="C754" t="s">
        <v>14</v>
      </c>
      <c r="D754" t="s">
        <v>32</v>
      </c>
      <c r="E754" t="s">
        <v>33</v>
      </c>
      <c r="F754" t="s">
        <v>17</v>
      </c>
      <c r="G754" t="s">
        <v>18</v>
      </c>
      <c r="H754" t="s">
        <v>19</v>
      </c>
      <c r="I754">
        <v>20972</v>
      </c>
      <c r="J754">
        <v>6</v>
      </c>
      <c r="K754" t="s">
        <v>28</v>
      </c>
      <c r="L754">
        <v>5413.81</v>
      </c>
      <c r="M754" t="str">
        <f t="shared" si="22"/>
        <v>Feb</v>
      </c>
      <c r="N754">
        <f t="shared" si="23"/>
        <v>2025</v>
      </c>
    </row>
    <row r="755" spans="1:14" x14ac:dyDescent="0.3">
      <c r="A755" t="s">
        <v>1136</v>
      </c>
      <c r="B755" s="5">
        <v>45949</v>
      </c>
      <c r="C755" t="s">
        <v>121</v>
      </c>
      <c r="D755" t="s">
        <v>38</v>
      </c>
      <c r="E755" t="s">
        <v>39</v>
      </c>
      <c r="F755" t="s">
        <v>46</v>
      </c>
      <c r="G755" t="s">
        <v>94</v>
      </c>
      <c r="H755" t="s">
        <v>95</v>
      </c>
      <c r="I755">
        <v>61977</v>
      </c>
      <c r="J755">
        <v>2</v>
      </c>
      <c r="K755" t="s">
        <v>49</v>
      </c>
      <c r="L755">
        <v>16856.849999999999</v>
      </c>
      <c r="M755" t="str">
        <f t="shared" si="22"/>
        <v>Oct</v>
      </c>
      <c r="N755">
        <f t="shared" si="23"/>
        <v>2025</v>
      </c>
    </row>
    <row r="756" spans="1:14" x14ac:dyDescent="0.3">
      <c r="A756" t="s">
        <v>1137</v>
      </c>
      <c r="B756" s="5">
        <v>45886</v>
      </c>
      <c r="C756" t="s">
        <v>56</v>
      </c>
      <c r="D756" t="s">
        <v>32</v>
      </c>
      <c r="E756" t="s">
        <v>33</v>
      </c>
      <c r="F756" t="s">
        <v>25</v>
      </c>
      <c r="G756" t="s">
        <v>26</v>
      </c>
      <c r="H756" t="s">
        <v>27</v>
      </c>
      <c r="I756">
        <v>61110</v>
      </c>
      <c r="J756">
        <v>7</v>
      </c>
      <c r="K756" t="s">
        <v>20</v>
      </c>
      <c r="L756">
        <v>16043.83</v>
      </c>
      <c r="M756" t="str">
        <f t="shared" si="22"/>
        <v>Aug</v>
      </c>
      <c r="N756">
        <f t="shared" si="23"/>
        <v>2025</v>
      </c>
    </row>
    <row r="757" spans="1:14" x14ac:dyDescent="0.3">
      <c r="A757" t="s">
        <v>1138</v>
      </c>
      <c r="B757" s="5">
        <v>46015</v>
      </c>
      <c r="C757" t="s">
        <v>14</v>
      </c>
      <c r="D757" t="s">
        <v>15</v>
      </c>
      <c r="E757" t="s">
        <v>16</v>
      </c>
      <c r="F757" t="s">
        <v>25</v>
      </c>
      <c r="G757" t="s">
        <v>40</v>
      </c>
      <c r="H757" t="s">
        <v>41</v>
      </c>
      <c r="I757">
        <v>61879</v>
      </c>
      <c r="J757">
        <v>3</v>
      </c>
      <c r="K757" t="s">
        <v>53</v>
      </c>
      <c r="L757">
        <v>5056.2</v>
      </c>
      <c r="M757" t="str">
        <f t="shared" si="22"/>
        <v>Dec</v>
      </c>
      <c r="N757">
        <f t="shared" si="23"/>
        <v>2025</v>
      </c>
    </row>
    <row r="758" spans="1:14" x14ac:dyDescent="0.3">
      <c r="A758" t="s">
        <v>1139</v>
      </c>
      <c r="B758" s="5">
        <v>45986</v>
      </c>
      <c r="C758" t="s">
        <v>56</v>
      </c>
      <c r="D758" t="s">
        <v>15</v>
      </c>
      <c r="E758" t="s">
        <v>154</v>
      </c>
      <c r="F758" t="s">
        <v>17</v>
      </c>
      <c r="G758" t="s">
        <v>76</v>
      </c>
      <c r="H758" t="s">
        <v>77</v>
      </c>
      <c r="I758">
        <v>35627</v>
      </c>
      <c r="J758">
        <v>3</v>
      </c>
      <c r="K758" t="s">
        <v>20</v>
      </c>
      <c r="L758">
        <v>3858.36</v>
      </c>
      <c r="M758" t="str">
        <f t="shared" si="22"/>
        <v>Nov</v>
      </c>
      <c r="N758">
        <f t="shared" si="23"/>
        <v>2025</v>
      </c>
    </row>
    <row r="759" spans="1:14" x14ac:dyDescent="0.3">
      <c r="A759" t="s">
        <v>1140</v>
      </c>
      <c r="B759" s="5">
        <v>45971</v>
      </c>
      <c r="C759" t="s">
        <v>37</v>
      </c>
      <c r="D759" t="s">
        <v>32</v>
      </c>
      <c r="E759" t="s">
        <v>33</v>
      </c>
      <c r="F759" t="s">
        <v>17</v>
      </c>
      <c r="G759" t="s">
        <v>104</v>
      </c>
      <c r="H759" t="s">
        <v>105</v>
      </c>
      <c r="I759">
        <v>5611</v>
      </c>
      <c r="J759">
        <v>6</v>
      </c>
      <c r="K759" t="s">
        <v>20</v>
      </c>
      <c r="L759">
        <v>1312.7</v>
      </c>
      <c r="M759" t="str">
        <f t="shared" si="22"/>
        <v>Nov</v>
      </c>
      <c r="N759">
        <f t="shared" si="23"/>
        <v>2025</v>
      </c>
    </row>
    <row r="760" spans="1:14" x14ac:dyDescent="0.3">
      <c r="A760" t="s">
        <v>1141</v>
      </c>
      <c r="B760" s="5">
        <v>45888</v>
      </c>
      <c r="C760" t="s">
        <v>91</v>
      </c>
      <c r="D760" t="s">
        <v>38</v>
      </c>
      <c r="E760" t="s">
        <v>52</v>
      </c>
      <c r="F760" t="s">
        <v>17</v>
      </c>
      <c r="G760" t="s">
        <v>104</v>
      </c>
      <c r="H760" t="s">
        <v>105</v>
      </c>
      <c r="I760">
        <v>31871</v>
      </c>
      <c r="J760">
        <v>10</v>
      </c>
      <c r="K760" t="s">
        <v>34</v>
      </c>
      <c r="L760">
        <v>6138.68</v>
      </c>
      <c r="M760" t="str">
        <f t="shared" si="22"/>
        <v>Aug</v>
      </c>
      <c r="N760">
        <f t="shared" si="23"/>
        <v>2025</v>
      </c>
    </row>
    <row r="761" spans="1:14" x14ac:dyDescent="0.3">
      <c r="A761" t="s">
        <v>1142</v>
      </c>
      <c r="B761" s="5">
        <v>45902</v>
      </c>
      <c r="C761" t="s">
        <v>56</v>
      </c>
      <c r="D761" t="s">
        <v>23</v>
      </c>
      <c r="E761" t="s">
        <v>82</v>
      </c>
      <c r="F761" t="s">
        <v>17</v>
      </c>
      <c r="G761" t="s">
        <v>76</v>
      </c>
      <c r="H761" t="s">
        <v>77</v>
      </c>
      <c r="I761">
        <v>13263</v>
      </c>
      <c r="J761">
        <v>8</v>
      </c>
      <c r="K761" t="s">
        <v>28</v>
      </c>
      <c r="L761">
        <v>1855.54</v>
      </c>
      <c r="M761" t="str">
        <f t="shared" si="22"/>
        <v>Sep</v>
      </c>
      <c r="N761">
        <f t="shared" si="23"/>
        <v>2025</v>
      </c>
    </row>
    <row r="762" spans="1:14" x14ac:dyDescent="0.3">
      <c r="A762" t="s">
        <v>1144</v>
      </c>
      <c r="B762" s="5">
        <v>45954</v>
      </c>
      <c r="C762" t="s">
        <v>14</v>
      </c>
      <c r="D762" t="s">
        <v>23</v>
      </c>
      <c r="E762" t="s">
        <v>129</v>
      </c>
      <c r="F762" t="s">
        <v>17</v>
      </c>
      <c r="G762" t="s">
        <v>18</v>
      </c>
      <c r="H762" t="s">
        <v>19</v>
      </c>
      <c r="I762">
        <v>46161</v>
      </c>
      <c r="J762">
        <v>3</v>
      </c>
      <c r="K762" t="s">
        <v>20</v>
      </c>
      <c r="L762">
        <v>4990.29</v>
      </c>
      <c r="M762" t="str">
        <f t="shared" si="22"/>
        <v>Oct</v>
      </c>
      <c r="N762">
        <f t="shared" si="23"/>
        <v>2025</v>
      </c>
    </row>
    <row r="763" spans="1:14" x14ac:dyDescent="0.3">
      <c r="A763" t="s">
        <v>1145</v>
      </c>
      <c r="B763" s="5">
        <v>45843</v>
      </c>
      <c r="C763" t="s">
        <v>31</v>
      </c>
      <c r="D763" t="s">
        <v>32</v>
      </c>
      <c r="E763" t="s">
        <v>45</v>
      </c>
      <c r="F763" t="s">
        <v>46</v>
      </c>
      <c r="G763" t="s">
        <v>47</v>
      </c>
      <c r="H763" t="s">
        <v>48</v>
      </c>
      <c r="I763">
        <v>945</v>
      </c>
      <c r="J763">
        <v>2</v>
      </c>
      <c r="K763" t="s">
        <v>53</v>
      </c>
      <c r="L763">
        <v>180.44</v>
      </c>
      <c r="M763" t="str">
        <f t="shared" si="22"/>
        <v>Jul</v>
      </c>
      <c r="N763">
        <f t="shared" si="23"/>
        <v>2025</v>
      </c>
    </row>
    <row r="764" spans="1:14" x14ac:dyDescent="0.3">
      <c r="A764" t="s">
        <v>1146</v>
      </c>
      <c r="B764" s="5">
        <v>45878</v>
      </c>
      <c r="C764" t="s">
        <v>91</v>
      </c>
      <c r="D764" t="s">
        <v>38</v>
      </c>
      <c r="E764" t="s">
        <v>67</v>
      </c>
      <c r="F764" t="s">
        <v>25</v>
      </c>
      <c r="G764" t="s">
        <v>40</v>
      </c>
      <c r="H764" t="s">
        <v>41</v>
      </c>
      <c r="I764">
        <v>33968</v>
      </c>
      <c r="J764">
        <v>7</v>
      </c>
      <c r="K764" t="s">
        <v>53</v>
      </c>
      <c r="L764">
        <v>8951.52</v>
      </c>
      <c r="M764" t="str">
        <f t="shared" si="22"/>
        <v>Aug</v>
      </c>
      <c r="N764">
        <f t="shared" si="23"/>
        <v>2025</v>
      </c>
    </row>
    <row r="765" spans="1:14" x14ac:dyDescent="0.3">
      <c r="A765" t="s">
        <v>1147</v>
      </c>
      <c r="B765" s="5">
        <v>45681</v>
      </c>
      <c r="C765" t="s">
        <v>121</v>
      </c>
      <c r="D765" t="s">
        <v>32</v>
      </c>
      <c r="E765" t="s">
        <v>33</v>
      </c>
      <c r="F765" t="s">
        <v>17</v>
      </c>
      <c r="G765" t="s">
        <v>76</v>
      </c>
      <c r="H765" t="s">
        <v>77</v>
      </c>
      <c r="I765">
        <v>69998</v>
      </c>
      <c r="J765">
        <v>3</v>
      </c>
      <c r="K765" t="s">
        <v>20</v>
      </c>
      <c r="L765">
        <v>8808.8799999999992</v>
      </c>
      <c r="M765" t="str">
        <f t="shared" si="22"/>
        <v>Jan</v>
      </c>
      <c r="N765">
        <f t="shared" si="23"/>
        <v>2025</v>
      </c>
    </row>
    <row r="766" spans="1:14" x14ac:dyDescent="0.3">
      <c r="A766" t="s">
        <v>1148</v>
      </c>
      <c r="B766" s="5">
        <v>45733</v>
      </c>
      <c r="C766" t="s">
        <v>44</v>
      </c>
      <c r="D766" t="s">
        <v>32</v>
      </c>
      <c r="E766" t="s">
        <v>45</v>
      </c>
      <c r="F766" t="s">
        <v>25</v>
      </c>
      <c r="G766" t="s">
        <v>57</v>
      </c>
      <c r="H766" t="s">
        <v>58</v>
      </c>
      <c r="I766">
        <v>819</v>
      </c>
      <c r="J766">
        <v>2</v>
      </c>
      <c r="K766" t="s">
        <v>49</v>
      </c>
      <c r="L766">
        <v>134.32</v>
      </c>
      <c r="M766" t="str">
        <f t="shared" si="22"/>
        <v>Mar</v>
      </c>
      <c r="N766">
        <f t="shared" si="23"/>
        <v>2025</v>
      </c>
    </row>
    <row r="767" spans="1:14" x14ac:dyDescent="0.3">
      <c r="A767" t="s">
        <v>1149</v>
      </c>
      <c r="B767" s="5">
        <v>45921</v>
      </c>
      <c r="C767" t="s">
        <v>91</v>
      </c>
      <c r="D767" t="s">
        <v>15</v>
      </c>
      <c r="E767" t="s">
        <v>73</v>
      </c>
      <c r="F767" t="s">
        <v>25</v>
      </c>
      <c r="G767" t="s">
        <v>40</v>
      </c>
      <c r="H767" t="s">
        <v>41</v>
      </c>
      <c r="I767">
        <v>21489</v>
      </c>
      <c r="J767">
        <v>1</v>
      </c>
      <c r="K767" t="s">
        <v>53</v>
      </c>
      <c r="L767">
        <v>4795.2</v>
      </c>
      <c r="M767" t="str">
        <f t="shared" si="22"/>
        <v>Sep</v>
      </c>
      <c r="N767">
        <f t="shared" si="23"/>
        <v>2025</v>
      </c>
    </row>
    <row r="768" spans="1:14" x14ac:dyDescent="0.3">
      <c r="A768" t="s">
        <v>1150</v>
      </c>
      <c r="B768" s="5">
        <v>45714</v>
      </c>
      <c r="C768" t="s">
        <v>37</v>
      </c>
      <c r="D768" t="s">
        <v>38</v>
      </c>
      <c r="E768" t="s">
        <v>52</v>
      </c>
      <c r="F768" t="s">
        <v>46</v>
      </c>
      <c r="G768" t="s">
        <v>87</v>
      </c>
      <c r="H768" t="s">
        <v>88</v>
      </c>
      <c r="I768">
        <v>13240</v>
      </c>
      <c r="J768">
        <v>7</v>
      </c>
      <c r="K768" t="s">
        <v>49</v>
      </c>
      <c r="L768">
        <v>1219.25</v>
      </c>
      <c r="M768" t="str">
        <f t="shared" si="22"/>
        <v>Feb</v>
      </c>
      <c r="N768">
        <f t="shared" si="23"/>
        <v>2025</v>
      </c>
    </row>
    <row r="769" spans="1:14" x14ac:dyDescent="0.3">
      <c r="A769" t="s">
        <v>1151</v>
      </c>
      <c r="B769" s="5">
        <v>45785</v>
      </c>
      <c r="C769" t="s">
        <v>44</v>
      </c>
      <c r="D769" t="s">
        <v>15</v>
      </c>
      <c r="E769" t="s">
        <v>154</v>
      </c>
      <c r="F769" t="s">
        <v>25</v>
      </c>
      <c r="G769" t="s">
        <v>40</v>
      </c>
      <c r="H769" t="s">
        <v>41</v>
      </c>
      <c r="I769">
        <v>9443</v>
      </c>
      <c r="J769">
        <v>4</v>
      </c>
      <c r="K769" t="s">
        <v>28</v>
      </c>
      <c r="L769">
        <v>1125.17</v>
      </c>
      <c r="M769" t="str">
        <f t="shared" si="22"/>
        <v>May</v>
      </c>
      <c r="N769">
        <f t="shared" si="23"/>
        <v>2025</v>
      </c>
    </row>
    <row r="770" spans="1:14" x14ac:dyDescent="0.3">
      <c r="A770" t="s">
        <v>1152</v>
      </c>
      <c r="B770" s="5">
        <v>45709</v>
      </c>
      <c r="C770" t="s">
        <v>72</v>
      </c>
      <c r="D770" t="s">
        <v>15</v>
      </c>
      <c r="E770" t="s">
        <v>154</v>
      </c>
      <c r="F770" t="s">
        <v>46</v>
      </c>
      <c r="G770" t="s">
        <v>47</v>
      </c>
      <c r="H770" t="s">
        <v>48</v>
      </c>
      <c r="I770">
        <v>40130</v>
      </c>
      <c r="J770">
        <v>6</v>
      </c>
      <c r="K770" t="s">
        <v>20</v>
      </c>
      <c r="L770">
        <v>5116.7299999999996</v>
      </c>
      <c r="M770" t="str">
        <f t="shared" si="22"/>
        <v>Feb</v>
      </c>
      <c r="N770">
        <f t="shared" si="23"/>
        <v>2025</v>
      </c>
    </row>
    <row r="771" spans="1:14" x14ac:dyDescent="0.3">
      <c r="A771" t="s">
        <v>1153</v>
      </c>
      <c r="B771" s="5">
        <v>45942</v>
      </c>
      <c r="C771" t="s">
        <v>121</v>
      </c>
      <c r="D771" t="s">
        <v>23</v>
      </c>
      <c r="E771" t="s">
        <v>24</v>
      </c>
      <c r="F771" t="s">
        <v>25</v>
      </c>
      <c r="G771" t="s">
        <v>26</v>
      </c>
      <c r="H771" t="s">
        <v>27</v>
      </c>
      <c r="I771">
        <v>10892</v>
      </c>
      <c r="J771">
        <v>5</v>
      </c>
      <c r="K771" t="s">
        <v>49</v>
      </c>
      <c r="L771">
        <v>2424.63</v>
      </c>
      <c r="M771" t="str">
        <f t="shared" ref="M771:M834" si="24">TEXT(B771,"mmm")</f>
        <v>Oct</v>
      </c>
      <c r="N771">
        <f t="shared" ref="N771:N834" si="25">YEAR(B771)</f>
        <v>2025</v>
      </c>
    </row>
    <row r="772" spans="1:14" x14ac:dyDescent="0.3">
      <c r="A772" t="s">
        <v>1154</v>
      </c>
      <c r="B772" s="5">
        <v>45869</v>
      </c>
      <c r="C772" t="s">
        <v>72</v>
      </c>
      <c r="D772" t="s">
        <v>15</v>
      </c>
      <c r="E772" t="s">
        <v>16</v>
      </c>
      <c r="F772" t="s">
        <v>25</v>
      </c>
      <c r="G772" t="s">
        <v>26</v>
      </c>
      <c r="H772" t="s">
        <v>27</v>
      </c>
      <c r="I772">
        <v>3478</v>
      </c>
      <c r="J772">
        <v>5</v>
      </c>
      <c r="K772" t="s">
        <v>53</v>
      </c>
      <c r="L772">
        <v>731.89</v>
      </c>
      <c r="M772" t="str">
        <f t="shared" si="24"/>
        <v>Jul</v>
      </c>
      <c r="N772">
        <f t="shared" si="25"/>
        <v>2025</v>
      </c>
    </row>
    <row r="773" spans="1:14" x14ac:dyDescent="0.3">
      <c r="A773" t="s">
        <v>1155</v>
      </c>
      <c r="B773" s="5">
        <v>46018</v>
      </c>
      <c r="C773" t="s">
        <v>31</v>
      </c>
      <c r="D773" t="s">
        <v>15</v>
      </c>
      <c r="E773" t="s">
        <v>73</v>
      </c>
      <c r="F773" t="s">
        <v>25</v>
      </c>
      <c r="G773" t="s">
        <v>40</v>
      </c>
      <c r="H773" t="s">
        <v>41</v>
      </c>
      <c r="I773">
        <v>815</v>
      </c>
      <c r="J773">
        <v>10</v>
      </c>
      <c r="K773" t="s">
        <v>20</v>
      </c>
      <c r="L773">
        <v>128.02000000000001</v>
      </c>
      <c r="M773" t="str">
        <f t="shared" si="24"/>
        <v>Dec</v>
      </c>
      <c r="N773">
        <f t="shared" si="25"/>
        <v>2025</v>
      </c>
    </row>
    <row r="774" spans="1:14" x14ac:dyDescent="0.3">
      <c r="A774" t="s">
        <v>1156</v>
      </c>
      <c r="B774" s="5">
        <v>45930</v>
      </c>
      <c r="C774" t="s">
        <v>66</v>
      </c>
      <c r="D774" t="s">
        <v>32</v>
      </c>
      <c r="E774" t="s">
        <v>33</v>
      </c>
      <c r="F774" t="s">
        <v>46</v>
      </c>
      <c r="G774" t="s">
        <v>87</v>
      </c>
      <c r="H774" t="s">
        <v>88</v>
      </c>
      <c r="I774">
        <v>6171</v>
      </c>
      <c r="J774">
        <v>8</v>
      </c>
      <c r="K774" t="s">
        <v>53</v>
      </c>
      <c r="L774">
        <v>841.13</v>
      </c>
      <c r="M774" t="str">
        <f t="shared" si="24"/>
        <v>Sep</v>
      </c>
      <c r="N774">
        <f t="shared" si="25"/>
        <v>2025</v>
      </c>
    </row>
    <row r="775" spans="1:14" x14ac:dyDescent="0.3">
      <c r="A775" t="s">
        <v>1157</v>
      </c>
      <c r="B775" s="5">
        <v>45802</v>
      </c>
      <c r="C775" t="s">
        <v>91</v>
      </c>
      <c r="D775" t="s">
        <v>15</v>
      </c>
      <c r="E775" t="s">
        <v>73</v>
      </c>
      <c r="F775" t="s">
        <v>25</v>
      </c>
      <c r="G775" t="s">
        <v>57</v>
      </c>
      <c r="H775" t="s">
        <v>58</v>
      </c>
      <c r="I775">
        <v>28893</v>
      </c>
      <c r="J775">
        <v>3</v>
      </c>
      <c r="K775" t="s">
        <v>28</v>
      </c>
      <c r="L775">
        <v>6770.84</v>
      </c>
      <c r="M775" t="str">
        <f t="shared" si="24"/>
        <v>May</v>
      </c>
      <c r="N775">
        <f t="shared" si="25"/>
        <v>2025</v>
      </c>
    </row>
    <row r="776" spans="1:14" x14ac:dyDescent="0.3">
      <c r="A776" t="s">
        <v>1159</v>
      </c>
      <c r="B776" s="5">
        <v>45955</v>
      </c>
      <c r="C776" t="s">
        <v>66</v>
      </c>
      <c r="D776" t="s">
        <v>15</v>
      </c>
      <c r="E776" t="s">
        <v>154</v>
      </c>
      <c r="F776" t="s">
        <v>17</v>
      </c>
      <c r="G776" t="s">
        <v>104</v>
      </c>
      <c r="H776" t="s">
        <v>105</v>
      </c>
      <c r="I776">
        <v>74271</v>
      </c>
      <c r="J776">
        <v>7</v>
      </c>
      <c r="K776" t="s">
        <v>49</v>
      </c>
      <c r="L776">
        <v>5947.54</v>
      </c>
      <c r="M776" t="str">
        <f t="shared" si="24"/>
        <v>Oct</v>
      </c>
      <c r="N776">
        <f t="shared" si="25"/>
        <v>2025</v>
      </c>
    </row>
    <row r="777" spans="1:14" x14ac:dyDescent="0.3">
      <c r="A777" t="s">
        <v>1160</v>
      </c>
      <c r="B777" s="5">
        <v>45772</v>
      </c>
      <c r="C777" t="s">
        <v>44</v>
      </c>
      <c r="D777" t="s">
        <v>38</v>
      </c>
      <c r="E777" t="s">
        <v>52</v>
      </c>
      <c r="F777" t="s">
        <v>17</v>
      </c>
      <c r="G777" t="s">
        <v>76</v>
      </c>
      <c r="H777" t="s">
        <v>77</v>
      </c>
      <c r="I777">
        <v>39380</v>
      </c>
      <c r="J777">
        <v>6</v>
      </c>
      <c r="K777" t="s">
        <v>53</v>
      </c>
      <c r="L777">
        <v>3613.51</v>
      </c>
      <c r="M777" t="str">
        <f t="shared" si="24"/>
        <v>Apr</v>
      </c>
      <c r="N777">
        <f t="shared" si="25"/>
        <v>2025</v>
      </c>
    </row>
    <row r="778" spans="1:14" x14ac:dyDescent="0.3">
      <c r="A778" t="s">
        <v>1162</v>
      </c>
      <c r="B778" s="5">
        <v>45752</v>
      </c>
      <c r="C778" t="s">
        <v>14</v>
      </c>
      <c r="D778" t="s">
        <v>23</v>
      </c>
      <c r="E778" t="s">
        <v>129</v>
      </c>
      <c r="F778" t="s">
        <v>17</v>
      </c>
      <c r="G778" t="s">
        <v>76</v>
      </c>
      <c r="H778" t="s">
        <v>77</v>
      </c>
      <c r="I778">
        <v>33772</v>
      </c>
      <c r="J778">
        <v>5</v>
      </c>
      <c r="K778" t="s">
        <v>49</v>
      </c>
      <c r="L778">
        <v>7234.03</v>
      </c>
      <c r="M778" t="str">
        <f t="shared" si="24"/>
        <v>Apr</v>
      </c>
      <c r="N778">
        <f t="shared" si="25"/>
        <v>2025</v>
      </c>
    </row>
    <row r="779" spans="1:14" x14ac:dyDescent="0.3">
      <c r="A779" t="s">
        <v>1163</v>
      </c>
      <c r="B779" s="5">
        <v>45969</v>
      </c>
      <c r="C779" t="s">
        <v>121</v>
      </c>
      <c r="D779" t="s">
        <v>32</v>
      </c>
      <c r="E779" t="s">
        <v>45</v>
      </c>
      <c r="F779" t="s">
        <v>25</v>
      </c>
      <c r="G779" t="s">
        <v>57</v>
      </c>
      <c r="H779" t="s">
        <v>58</v>
      </c>
      <c r="I779">
        <v>63750</v>
      </c>
      <c r="J779">
        <v>9</v>
      </c>
      <c r="K779" t="s">
        <v>20</v>
      </c>
      <c r="L779">
        <v>6138.45</v>
      </c>
      <c r="M779" t="str">
        <f t="shared" si="24"/>
        <v>Nov</v>
      </c>
      <c r="N779">
        <f t="shared" si="25"/>
        <v>2025</v>
      </c>
    </row>
    <row r="780" spans="1:14" x14ac:dyDescent="0.3">
      <c r="A780" t="s">
        <v>1164</v>
      </c>
      <c r="B780" s="5">
        <v>45978</v>
      </c>
      <c r="C780" t="s">
        <v>91</v>
      </c>
      <c r="D780" t="s">
        <v>32</v>
      </c>
      <c r="E780" t="s">
        <v>33</v>
      </c>
      <c r="F780" t="s">
        <v>46</v>
      </c>
      <c r="G780" t="s">
        <v>47</v>
      </c>
      <c r="H780" t="s">
        <v>48</v>
      </c>
      <c r="I780">
        <v>8699</v>
      </c>
      <c r="J780">
        <v>7</v>
      </c>
      <c r="K780" t="s">
        <v>20</v>
      </c>
      <c r="L780">
        <v>794.7</v>
      </c>
      <c r="M780" t="str">
        <f t="shared" si="24"/>
        <v>Nov</v>
      </c>
      <c r="N780">
        <f t="shared" si="25"/>
        <v>2025</v>
      </c>
    </row>
    <row r="781" spans="1:14" x14ac:dyDescent="0.3">
      <c r="A781" t="s">
        <v>1165</v>
      </c>
      <c r="B781" s="5">
        <v>45862</v>
      </c>
      <c r="C781" t="s">
        <v>121</v>
      </c>
      <c r="D781" t="s">
        <v>15</v>
      </c>
      <c r="E781" t="s">
        <v>73</v>
      </c>
      <c r="F781" t="s">
        <v>25</v>
      </c>
      <c r="G781" t="s">
        <v>57</v>
      </c>
      <c r="H781" t="s">
        <v>58</v>
      </c>
      <c r="I781">
        <v>57251</v>
      </c>
      <c r="J781">
        <v>3</v>
      </c>
      <c r="K781" t="s">
        <v>53</v>
      </c>
      <c r="L781">
        <v>13020.35</v>
      </c>
      <c r="M781" t="str">
        <f t="shared" si="24"/>
        <v>Jul</v>
      </c>
      <c r="N781">
        <f t="shared" si="25"/>
        <v>2025</v>
      </c>
    </row>
    <row r="782" spans="1:14" x14ac:dyDescent="0.3">
      <c r="A782" t="s">
        <v>1166</v>
      </c>
      <c r="B782" s="5">
        <v>45907</v>
      </c>
      <c r="C782" t="s">
        <v>14</v>
      </c>
      <c r="D782" t="s">
        <v>23</v>
      </c>
      <c r="E782" t="s">
        <v>82</v>
      </c>
      <c r="F782" t="s">
        <v>46</v>
      </c>
      <c r="G782" t="s">
        <v>87</v>
      </c>
      <c r="H782" t="s">
        <v>88</v>
      </c>
      <c r="I782">
        <v>40509</v>
      </c>
      <c r="J782">
        <v>1</v>
      </c>
      <c r="K782" t="s">
        <v>53</v>
      </c>
      <c r="L782">
        <v>7278.46</v>
      </c>
      <c r="M782" t="str">
        <f t="shared" si="24"/>
        <v>Sep</v>
      </c>
      <c r="N782">
        <f t="shared" si="25"/>
        <v>2025</v>
      </c>
    </row>
    <row r="783" spans="1:14" x14ac:dyDescent="0.3">
      <c r="A783" t="s">
        <v>1167</v>
      </c>
      <c r="B783" s="5">
        <v>46017</v>
      </c>
      <c r="C783" t="s">
        <v>37</v>
      </c>
      <c r="D783" t="s">
        <v>15</v>
      </c>
      <c r="E783" t="s">
        <v>73</v>
      </c>
      <c r="F783" t="s">
        <v>25</v>
      </c>
      <c r="G783" t="s">
        <v>26</v>
      </c>
      <c r="H783" t="s">
        <v>27</v>
      </c>
      <c r="I783">
        <v>49842</v>
      </c>
      <c r="J783">
        <v>3</v>
      </c>
      <c r="K783" t="s">
        <v>49</v>
      </c>
      <c r="L783">
        <v>7467.13</v>
      </c>
      <c r="M783" t="str">
        <f t="shared" si="24"/>
        <v>Dec</v>
      </c>
      <c r="N783">
        <f t="shared" si="25"/>
        <v>2025</v>
      </c>
    </row>
    <row r="784" spans="1:14" x14ac:dyDescent="0.3">
      <c r="A784" t="s">
        <v>1168</v>
      </c>
      <c r="B784" s="5">
        <v>45819</v>
      </c>
      <c r="C784" t="s">
        <v>44</v>
      </c>
      <c r="D784" t="s">
        <v>38</v>
      </c>
      <c r="E784" t="s">
        <v>52</v>
      </c>
      <c r="F784" t="s">
        <v>17</v>
      </c>
      <c r="G784" t="s">
        <v>76</v>
      </c>
      <c r="H784" t="s">
        <v>77</v>
      </c>
      <c r="I784">
        <v>66252</v>
      </c>
      <c r="J784">
        <v>10</v>
      </c>
      <c r="K784" t="s">
        <v>28</v>
      </c>
      <c r="L784">
        <v>11253.43</v>
      </c>
      <c r="M784" t="str">
        <f t="shared" si="24"/>
        <v>Jun</v>
      </c>
      <c r="N784">
        <f t="shared" si="25"/>
        <v>2025</v>
      </c>
    </row>
    <row r="785" spans="1:14" x14ac:dyDescent="0.3">
      <c r="A785" t="s">
        <v>1169</v>
      </c>
      <c r="B785" s="5">
        <v>45958</v>
      </c>
      <c r="C785" t="s">
        <v>56</v>
      </c>
      <c r="D785" t="s">
        <v>15</v>
      </c>
      <c r="E785" t="s">
        <v>154</v>
      </c>
      <c r="F785" t="s">
        <v>17</v>
      </c>
      <c r="G785" t="s">
        <v>76</v>
      </c>
      <c r="H785" t="s">
        <v>77</v>
      </c>
      <c r="I785">
        <v>14808</v>
      </c>
      <c r="J785">
        <v>6</v>
      </c>
      <c r="K785" t="s">
        <v>34</v>
      </c>
      <c r="L785">
        <v>2358.96</v>
      </c>
      <c r="M785" t="str">
        <f t="shared" si="24"/>
        <v>Oct</v>
      </c>
      <c r="N785">
        <f t="shared" si="25"/>
        <v>2025</v>
      </c>
    </row>
    <row r="786" spans="1:14" x14ac:dyDescent="0.3">
      <c r="A786" t="s">
        <v>1170</v>
      </c>
      <c r="B786" s="5">
        <v>45714</v>
      </c>
      <c r="C786" t="s">
        <v>56</v>
      </c>
      <c r="D786" t="s">
        <v>38</v>
      </c>
      <c r="E786" t="s">
        <v>52</v>
      </c>
      <c r="F786" t="s">
        <v>46</v>
      </c>
      <c r="G786" t="s">
        <v>94</v>
      </c>
      <c r="H786" t="s">
        <v>95</v>
      </c>
      <c r="I786">
        <v>51472</v>
      </c>
      <c r="J786">
        <v>2</v>
      </c>
      <c r="K786" t="s">
        <v>34</v>
      </c>
      <c r="L786">
        <v>5312.99</v>
      </c>
      <c r="M786" t="str">
        <f t="shared" si="24"/>
        <v>Feb</v>
      </c>
      <c r="N786">
        <f t="shared" si="25"/>
        <v>2025</v>
      </c>
    </row>
    <row r="787" spans="1:14" x14ac:dyDescent="0.3">
      <c r="A787" t="s">
        <v>1171</v>
      </c>
      <c r="B787" s="5">
        <v>45973</v>
      </c>
      <c r="C787" t="s">
        <v>66</v>
      </c>
      <c r="D787" t="s">
        <v>15</v>
      </c>
      <c r="E787" t="s">
        <v>154</v>
      </c>
      <c r="F787" t="s">
        <v>17</v>
      </c>
      <c r="G787" t="s">
        <v>18</v>
      </c>
      <c r="H787" t="s">
        <v>19</v>
      </c>
      <c r="I787">
        <v>42039</v>
      </c>
      <c r="J787">
        <v>5</v>
      </c>
      <c r="K787" t="s">
        <v>20</v>
      </c>
      <c r="L787">
        <v>11155.75</v>
      </c>
      <c r="M787" t="str">
        <f t="shared" si="24"/>
        <v>Nov</v>
      </c>
      <c r="N787">
        <f t="shared" si="25"/>
        <v>2025</v>
      </c>
    </row>
    <row r="788" spans="1:14" x14ac:dyDescent="0.3">
      <c r="A788" t="s">
        <v>1172</v>
      </c>
      <c r="B788" s="5">
        <v>45856</v>
      </c>
      <c r="C788" t="s">
        <v>91</v>
      </c>
      <c r="D788" t="s">
        <v>32</v>
      </c>
      <c r="E788" t="s">
        <v>45</v>
      </c>
      <c r="F788" t="s">
        <v>46</v>
      </c>
      <c r="G788" t="s">
        <v>47</v>
      </c>
      <c r="H788" t="s">
        <v>48</v>
      </c>
      <c r="I788">
        <v>60635</v>
      </c>
      <c r="J788">
        <v>5</v>
      </c>
      <c r="K788" t="s">
        <v>28</v>
      </c>
      <c r="L788">
        <v>9227.09</v>
      </c>
      <c r="M788" t="str">
        <f t="shared" si="24"/>
        <v>Jul</v>
      </c>
      <c r="N788">
        <f t="shared" si="25"/>
        <v>2025</v>
      </c>
    </row>
    <row r="789" spans="1:14" x14ac:dyDescent="0.3">
      <c r="A789" t="s">
        <v>1173</v>
      </c>
      <c r="B789" s="5">
        <v>45877</v>
      </c>
      <c r="C789" t="s">
        <v>121</v>
      </c>
      <c r="D789" t="s">
        <v>38</v>
      </c>
      <c r="E789" t="s">
        <v>39</v>
      </c>
      <c r="F789" t="s">
        <v>17</v>
      </c>
      <c r="G789" t="s">
        <v>104</v>
      </c>
      <c r="H789" t="s">
        <v>105</v>
      </c>
      <c r="I789">
        <v>49397</v>
      </c>
      <c r="J789">
        <v>6</v>
      </c>
      <c r="K789" t="s">
        <v>53</v>
      </c>
      <c r="L789">
        <v>8042.1</v>
      </c>
      <c r="M789" t="str">
        <f t="shared" si="24"/>
        <v>Aug</v>
      </c>
      <c r="N789">
        <f t="shared" si="25"/>
        <v>2025</v>
      </c>
    </row>
    <row r="790" spans="1:14" x14ac:dyDescent="0.3">
      <c r="A790" t="s">
        <v>1174</v>
      </c>
      <c r="B790" s="5">
        <v>45716</v>
      </c>
      <c r="C790" t="s">
        <v>63</v>
      </c>
      <c r="D790" t="s">
        <v>38</v>
      </c>
      <c r="E790" t="s">
        <v>52</v>
      </c>
      <c r="F790" t="s">
        <v>17</v>
      </c>
      <c r="G790" t="s">
        <v>76</v>
      </c>
      <c r="H790" t="s">
        <v>77</v>
      </c>
      <c r="I790">
        <v>68631</v>
      </c>
      <c r="J790">
        <v>4</v>
      </c>
      <c r="K790" t="s">
        <v>53</v>
      </c>
      <c r="L790">
        <v>5397.56</v>
      </c>
      <c r="M790" t="str">
        <f t="shared" si="24"/>
        <v>Feb</v>
      </c>
      <c r="N790">
        <f t="shared" si="25"/>
        <v>2025</v>
      </c>
    </row>
    <row r="791" spans="1:14" x14ac:dyDescent="0.3">
      <c r="A791" t="s">
        <v>1175</v>
      </c>
      <c r="B791" s="5">
        <v>45807</v>
      </c>
      <c r="C791" t="s">
        <v>91</v>
      </c>
      <c r="D791" t="s">
        <v>38</v>
      </c>
      <c r="E791" t="s">
        <v>67</v>
      </c>
      <c r="F791" t="s">
        <v>46</v>
      </c>
      <c r="G791" t="s">
        <v>94</v>
      </c>
      <c r="H791" t="s">
        <v>95</v>
      </c>
      <c r="I791">
        <v>23131</v>
      </c>
      <c r="J791">
        <v>7</v>
      </c>
      <c r="K791" t="s">
        <v>53</v>
      </c>
      <c r="L791">
        <v>4688.7299999999996</v>
      </c>
      <c r="M791" t="str">
        <f t="shared" si="24"/>
        <v>May</v>
      </c>
      <c r="N791">
        <f t="shared" si="25"/>
        <v>2025</v>
      </c>
    </row>
    <row r="792" spans="1:14" x14ac:dyDescent="0.3">
      <c r="A792" t="s">
        <v>1176</v>
      </c>
      <c r="B792" s="5">
        <v>45845</v>
      </c>
      <c r="C792" t="s">
        <v>121</v>
      </c>
      <c r="D792" t="s">
        <v>32</v>
      </c>
      <c r="E792" t="s">
        <v>45</v>
      </c>
      <c r="F792" t="s">
        <v>46</v>
      </c>
      <c r="G792" t="s">
        <v>87</v>
      </c>
      <c r="H792" t="s">
        <v>88</v>
      </c>
      <c r="I792">
        <v>78904</v>
      </c>
      <c r="J792">
        <v>8</v>
      </c>
      <c r="K792" t="s">
        <v>53</v>
      </c>
      <c r="L792">
        <v>13392.01</v>
      </c>
      <c r="M792" t="str">
        <f t="shared" si="24"/>
        <v>Jul</v>
      </c>
      <c r="N792">
        <f t="shared" si="25"/>
        <v>2025</v>
      </c>
    </row>
    <row r="793" spans="1:14" x14ac:dyDescent="0.3">
      <c r="A793" t="s">
        <v>1177</v>
      </c>
      <c r="B793" s="5">
        <v>45830</v>
      </c>
      <c r="C793" t="s">
        <v>37</v>
      </c>
      <c r="D793" t="s">
        <v>32</v>
      </c>
      <c r="E793" t="s">
        <v>116</v>
      </c>
      <c r="F793" t="s">
        <v>46</v>
      </c>
      <c r="G793" t="s">
        <v>87</v>
      </c>
      <c r="H793" t="s">
        <v>88</v>
      </c>
      <c r="I793">
        <v>65022</v>
      </c>
      <c r="J793">
        <v>2</v>
      </c>
      <c r="K793" t="s">
        <v>34</v>
      </c>
      <c r="L793">
        <v>10153.93</v>
      </c>
      <c r="M793" t="str">
        <f t="shared" si="24"/>
        <v>Jun</v>
      </c>
      <c r="N793">
        <f t="shared" si="25"/>
        <v>2025</v>
      </c>
    </row>
    <row r="794" spans="1:14" x14ac:dyDescent="0.3">
      <c r="A794" t="s">
        <v>1178</v>
      </c>
      <c r="B794" s="5">
        <v>45934</v>
      </c>
      <c r="C794" t="s">
        <v>31</v>
      </c>
      <c r="D794" t="s">
        <v>23</v>
      </c>
      <c r="E794" t="s">
        <v>129</v>
      </c>
      <c r="F794" t="s">
        <v>17</v>
      </c>
      <c r="G794" t="s">
        <v>104</v>
      </c>
      <c r="H794" t="s">
        <v>105</v>
      </c>
      <c r="I794">
        <v>6157</v>
      </c>
      <c r="J794">
        <v>9</v>
      </c>
      <c r="K794" t="s">
        <v>53</v>
      </c>
      <c r="L794">
        <v>1639.92</v>
      </c>
      <c r="M794" t="str">
        <f t="shared" si="24"/>
        <v>Oct</v>
      </c>
      <c r="N794">
        <f t="shared" si="25"/>
        <v>2025</v>
      </c>
    </row>
    <row r="795" spans="1:14" x14ac:dyDescent="0.3">
      <c r="A795" t="s">
        <v>1179</v>
      </c>
      <c r="B795" s="5">
        <v>45826</v>
      </c>
      <c r="C795" t="s">
        <v>72</v>
      </c>
      <c r="D795" t="s">
        <v>32</v>
      </c>
      <c r="E795" t="s">
        <v>45</v>
      </c>
      <c r="F795" t="s">
        <v>17</v>
      </c>
      <c r="G795" t="s">
        <v>18</v>
      </c>
      <c r="H795" t="s">
        <v>19</v>
      </c>
      <c r="I795">
        <v>75594</v>
      </c>
      <c r="J795">
        <v>6</v>
      </c>
      <c r="K795" t="s">
        <v>20</v>
      </c>
      <c r="L795">
        <v>10667.95</v>
      </c>
      <c r="M795" t="str">
        <f t="shared" si="24"/>
        <v>Jun</v>
      </c>
      <c r="N795">
        <f t="shared" si="25"/>
        <v>2025</v>
      </c>
    </row>
    <row r="796" spans="1:14" x14ac:dyDescent="0.3">
      <c r="A796" t="s">
        <v>1180</v>
      </c>
      <c r="B796" s="5">
        <v>45996</v>
      </c>
      <c r="C796" t="s">
        <v>56</v>
      </c>
      <c r="D796" t="s">
        <v>38</v>
      </c>
      <c r="E796" t="s">
        <v>52</v>
      </c>
      <c r="F796" t="s">
        <v>25</v>
      </c>
      <c r="G796" t="s">
        <v>57</v>
      </c>
      <c r="H796" t="s">
        <v>58</v>
      </c>
      <c r="I796">
        <v>5368</v>
      </c>
      <c r="J796">
        <v>9</v>
      </c>
      <c r="K796" t="s">
        <v>20</v>
      </c>
      <c r="L796">
        <v>621.57000000000005</v>
      </c>
      <c r="M796" t="str">
        <f t="shared" si="24"/>
        <v>Dec</v>
      </c>
      <c r="N796">
        <f t="shared" si="25"/>
        <v>2025</v>
      </c>
    </row>
    <row r="797" spans="1:14" x14ac:dyDescent="0.3">
      <c r="A797" t="s">
        <v>1181</v>
      </c>
      <c r="B797" s="5">
        <v>45716</v>
      </c>
      <c r="C797" t="s">
        <v>63</v>
      </c>
      <c r="D797" t="s">
        <v>23</v>
      </c>
      <c r="E797" t="s">
        <v>82</v>
      </c>
      <c r="F797" t="s">
        <v>25</v>
      </c>
      <c r="G797" t="s">
        <v>57</v>
      </c>
      <c r="H797" t="s">
        <v>58</v>
      </c>
      <c r="I797">
        <v>46075</v>
      </c>
      <c r="J797">
        <v>8</v>
      </c>
      <c r="K797" t="s">
        <v>49</v>
      </c>
      <c r="L797">
        <v>11530.59</v>
      </c>
      <c r="M797" t="str">
        <f t="shared" si="24"/>
        <v>Feb</v>
      </c>
      <c r="N797">
        <f t="shared" si="25"/>
        <v>2025</v>
      </c>
    </row>
    <row r="798" spans="1:14" x14ac:dyDescent="0.3">
      <c r="A798" t="s">
        <v>1182</v>
      </c>
      <c r="B798" s="5">
        <v>45791</v>
      </c>
      <c r="C798" t="s">
        <v>121</v>
      </c>
      <c r="D798" t="s">
        <v>38</v>
      </c>
      <c r="E798" t="s">
        <v>39</v>
      </c>
      <c r="F798" t="s">
        <v>17</v>
      </c>
      <c r="G798" t="s">
        <v>76</v>
      </c>
      <c r="H798" t="s">
        <v>77</v>
      </c>
      <c r="I798">
        <v>49879</v>
      </c>
      <c r="J798">
        <v>1</v>
      </c>
      <c r="K798" t="s">
        <v>53</v>
      </c>
      <c r="L798">
        <v>9434.5300000000007</v>
      </c>
      <c r="M798" t="str">
        <f t="shared" si="24"/>
        <v>May</v>
      </c>
      <c r="N798">
        <f t="shared" si="25"/>
        <v>2025</v>
      </c>
    </row>
    <row r="799" spans="1:14" x14ac:dyDescent="0.3">
      <c r="A799" t="s">
        <v>1183</v>
      </c>
      <c r="B799" s="5">
        <v>45751</v>
      </c>
      <c r="C799" t="s">
        <v>72</v>
      </c>
      <c r="D799" t="s">
        <v>23</v>
      </c>
      <c r="E799" t="s">
        <v>24</v>
      </c>
      <c r="F799" t="s">
        <v>17</v>
      </c>
      <c r="G799" t="s">
        <v>104</v>
      </c>
      <c r="H799" t="s">
        <v>105</v>
      </c>
      <c r="I799">
        <v>13826</v>
      </c>
      <c r="J799">
        <v>1</v>
      </c>
      <c r="K799" t="s">
        <v>20</v>
      </c>
      <c r="L799">
        <v>3746.05</v>
      </c>
      <c r="M799" t="str">
        <f t="shared" si="24"/>
        <v>Apr</v>
      </c>
      <c r="N799">
        <f t="shared" si="25"/>
        <v>2025</v>
      </c>
    </row>
    <row r="800" spans="1:14" x14ac:dyDescent="0.3">
      <c r="A800" t="s">
        <v>1184</v>
      </c>
      <c r="B800" s="5">
        <v>45993</v>
      </c>
      <c r="C800" t="s">
        <v>66</v>
      </c>
      <c r="D800" t="s">
        <v>15</v>
      </c>
      <c r="E800" t="s">
        <v>154</v>
      </c>
      <c r="F800" t="s">
        <v>46</v>
      </c>
      <c r="G800" t="s">
        <v>47</v>
      </c>
      <c r="H800" t="s">
        <v>48</v>
      </c>
      <c r="I800">
        <v>11741</v>
      </c>
      <c r="J800">
        <v>1</v>
      </c>
      <c r="K800" t="s">
        <v>28</v>
      </c>
      <c r="L800">
        <v>2536.8200000000002</v>
      </c>
      <c r="M800" t="str">
        <f t="shared" si="24"/>
        <v>Dec</v>
      </c>
      <c r="N800">
        <f t="shared" si="25"/>
        <v>2025</v>
      </c>
    </row>
    <row r="801" spans="1:14" x14ac:dyDescent="0.3">
      <c r="A801" t="s">
        <v>1185</v>
      </c>
      <c r="B801" s="5">
        <v>45689</v>
      </c>
      <c r="C801" t="s">
        <v>63</v>
      </c>
      <c r="D801" t="s">
        <v>38</v>
      </c>
      <c r="E801" t="s">
        <v>39</v>
      </c>
      <c r="F801" t="s">
        <v>17</v>
      </c>
      <c r="G801" t="s">
        <v>104</v>
      </c>
      <c r="H801" t="s">
        <v>105</v>
      </c>
      <c r="I801">
        <v>37310</v>
      </c>
      <c r="J801">
        <v>8</v>
      </c>
      <c r="K801" t="s">
        <v>49</v>
      </c>
      <c r="L801">
        <v>4818.2299999999996</v>
      </c>
      <c r="M801" t="str">
        <f t="shared" si="24"/>
        <v>Feb</v>
      </c>
      <c r="N801">
        <f t="shared" si="25"/>
        <v>2025</v>
      </c>
    </row>
    <row r="802" spans="1:14" x14ac:dyDescent="0.3">
      <c r="A802" t="s">
        <v>1187</v>
      </c>
      <c r="B802" s="5">
        <v>45871</v>
      </c>
      <c r="C802" t="s">
        <v>14</v>
      </c>
      <c r="D802" t="s">
        <v>15</v>
      </c>
      <c r="E802" t="s">
        <v>16</v>
      </c>
      <c r="F802" t="s">
        <v>17</v>
      </c>
      <c r="G802" t="s">
        <v>76</v>
      </c>
      <c r="H802" t="s">
        <v>77</v>
      </c>
      <c r="I802">
        <v>31953</v>
      </c>
      <c r="J802">
        <v>7</v>
      </c>
      <c r="K802" t="s">
        <v>49</v>
      </c>
      <c r="L802">
        <v>2443.0700000000002</v>
      </c>
      <c r="M802" t="str">
        <f t="shared" si="24"/>
        <v>Aug</v>
      </c>
      <c r="N802">
        <f t="shared" si="25"/>
        <v>2025</v>
      </c>
    </row>
    <row r="803" spans="1:14" x14ac:dyDescent="0.3">
      <c r="A803" t="s">
        <v>1188</v>
      </c>
      <c r="B803" s="5">
        <v>45702</v>
      </c>
      <c r="C803" t="s">
        <v>31</v>
      </c>
      <c r="D803" t="s">
        <v>32</v>
      </c>
      <c r="E803" t="s">
        <v>45</v>
      </c>
      <c r="F803" t="s">
        <v>25</v>
      </c>
      <c r="G803" t="s">
        <v>57</v>
      </c>
      <c r="H803" t="s">
        <v>58</v>
      </c>
      <c r="I803">
        <v>74365</v>
      </c>
      <c r="J803">
        <v>2</v>
      </c>
      <c r="K803" t="s">
        <v>53</v>
      </c>
      <c r="L803">
        <v>16360.46</v>
      </c>
      <c r="M803" t="str">
        <f t="shared" si="24"/>
        <v>Feb</v>
      </c>
      <c r="N803">
        <f t="shared" si="25"/>
        <v>2025</v>
      </c>
    </row>
    <row r="804" spans="1:14" x14ac:dyDescent="0.3">
      <c r="A804" t="s">
        <v>1189</v>
      </c>
      <c r="B804" s="5">
        <v>45909</v>
      </c>
      <c r="C804" t="s">
        <v>72</v>
      </c>
      <c r="D804" t="s">
        <v>23</v>
      </c>
      <c r="E804" t="s">
        <v>82</v>
      </c>
      <c r="F804" t="s">
        <v>25</v>
      </c>
      <c r="G804" t="s">
        <v>26</v>
      </c>
      <c r="H804" t="s">
        <v>27</v>
      </c>
      <c r="I804">
        <v>11685</v>
      </c>
      <c r="J804">
        <v>1</v>
      </c>
      <c r="K804" t="s">
        <v>34</v>
      </c>
      <c r="L804">
        <v>1483</v>
      </c>
      <c r="M804" t="str">
        <f t="shared" si="24"/>
        <v>Sep</v>
      </c>
      <c r="N804">
        <f t="shared" si="25"/>
        <v>2025</v>
      </c>
    </row>
    <row r="805" spans="1:14" x14ac:dyDescent="0.3">
      <c r="A805" t="s">
        <v>1190</v>
      </c>
      <c r="B805" s="5">
        <v>45916</v>
      </c>
      <c r="C805" t="s">
        <v>91</v>
      </c>
      <c r="D805" t="s">
        <v>23</v>
      </c>
      <c r="E805" t="s">
        <v>82</v>
      </c>
      <c r="F805" t="s">
        <v>17</v>
      </c>
      <c r="G805" t="s">
        <v>76</v>
      </c>
      <c r="H805" t="s">
        <v>77</v>
      </c>
      <c r="I805">
        <v>1260</v>
      </c>
      <c r="J805">
        <v>9</v>
      </c>
      <c r="K805" t="s">
        <v>49</v>
      </c>
      <c r="L805">
        <v>188.08</v>
      </c>
      <c r="M805" t="str">
        <f t="shared" si="24"/>
        <v>Sep</v>
      </c>
      <c r="N805">
        <f t="shared" si="25"/>
        <v>2025</v>
      </c>
    </row>
    <row r="806" spans="1:14" x14ac:dyDescent="0.3">
      <c r="A806" t="s">
        <v>1191</v>
      </c>
      <c r="B806" s="5">
        <v>45962</v>
      </c>
      <c r="C806" t="s">
        <v>66</v>
      </c>
      <c r="D806" t="s">
        <v>23</v>
      </c>
      <c r="E806" t="s">
        <v>82</v>
      </c>
      <c r="F806" t="s">
        <v>17</v>
      </c>
      <c r="G806" t="s">
        <v>76</v>
      </c>
      <c r="H806" t="s">
        <v>77</v>
      </c>
      <c r="I806">
        <v>30119</v>
      </c>
      <c r="J806">
        <v>10</v>
      </c>
      <c r="K806" t="s">
        <v>20</v>
      </c>
      <c r="L806">
        <v>4524.5600000000004</v>
      </c>
      <c r="M806" t="str">
        <f t="shared" si="24"/>
        <v>Nov</v>
      </c>
      <c r="N806">
        <f t="shared" si="25"/>
        <v>2025</v>
      </c>
    </row>
    <row r="807" spans="1:14" x14ac:dyDescent="0.3">
      <c r="A807" t="s">
        <v>1192</v>
      </c>
      <c r="B807" s="5">
        <v>45875</v>
      </c>
      <c r="C807" t="s">
        <v>56</v>
      </c>
      <c r="D807" t="s">
        <v>23</v>
      </c>
      <c r="E807" t="s">
        <v>82</v>
      </c>
      <c r="F807" t="s">
        <v>25</v>
      </c>
      <c r="G807" t="s">
        <v>57</v>
      </c>
      <c r="H807" t="s">
        <v>58</v>
      </c>
      <c r="I807">
        <v>26179</v>
      </c>
      <c r="J807">
        <v>5</v>
      </c>
      <c r="K807" t="s">
        <v>20</v>
      </c>
      <c r="L807">
        <v>2118.11</v>
      </c>
      <c r="M807" t="str">
        <f t="shared" si="24"/>
        <v>Aug</v>
      </c>
      <c r="N807">
        <f t="shared" si="25"/>
        <v>2025</v>
      </c>
    </row>
    <row r="808" spans="1:14" x14ac:dyDescent="0.3">
      <c r="A808" t="s">
        <v>1193</v>
      </c>
      <c r="B808" s="5">
        <v>45662</v>
      </c>
      <c r="C808" t="s">
        <v>72</v>
      </c>
      <c r="D808" t="s">
        <v>23</v>
      </c>
      <c r="E808" t="s">
        <v>129</v>
      </c>
      <c r="F808" t="s">
        <v>46</v>
      </c>
      <c r="G808" t="s">
        <v>87</v>
      </c>
      <c r="H808" t="s">
        <v>88</v>
      </c>
      <c r="I808">
        <v>22203</v>
      </c>
      <c r="J808">
        <v>3</v>
      </c>
      <c r="K808" t="s">
        <v>28</v>
      </c>
      <c r="L808">
        <v>3859.63</v>
      </c>
      <c r="M808" t="str">
        <f t="shared" si="24"/>
        <v>Jan</v>
      </c>
      <c r="N808">
        <f t="shared" si="25"/>
        <v>2025</v>
      </c>
    </row>
    <row r="809" spans="1:14" x14ac:dyDescent="0.3">
      <c r="A809" t="s">
        <v>1194</v>
      </c>
      <c r="B809" s="5">
        <v>45926</v>
      </c>
      <c r="C809" t="s">
        <v>56</v>
      </c>
      <c r="D809" t="s">
        <v>23</v>
      </c>
      <c r="E809" t="s">
        <v>24</v>
      </c>
      <c r="F809" t="s">
        <v>25</v>
      </c>
      <c r="G809" t="s">
        <v>57</v>
      </c>
      <c r="H809" t="s">
        <v>58</v>
      </c>
      <c r="I809">
        <v>46694</v>
      </c>
      <c r="J809">
        <v>5</v>
      </c>
      <c r="K809" t="s">
        <v>34</v>
      </c>
      <c r="L809">
        <v>3653.7</v>
      </c>
      <c r="M809" t="str">
        <f t="shared" si="24"/>
        <v>Sep</v>
      </c>
      <c r="N809">
        <f t="shared" si="25"/>
        <v>2025</v>
      </c>
    </row>
    <row r="810" spans="1:14" x14ac:dyDescent="0.3">
      <c r="A810" t="s">
        <v>1195</v>
      </c>
      <c r="B810" s="5">
        <v>45872</v>
      </c>
      <c r="C810" t="s">
        <v>44</v>
      </c>
      <c r="D810" t="s">
        <v>32</v>
      </c>
      <c r="E810" t="s">
        <v>45</v>
      </c>
      <c r="F810" t="s">
        <v>46</v>
      </c>
      <c r="G810" t="s">
        <v>94</v>
      </c>
      <c r="H810" t="s">
        <v>95</v>
      </c>
      <c r="I810">
        <v>16187</v>
      </c>
      <c r="J810">
        <v>3</v>
      </c>
      <c r="K810" t="s">
        <v>34</v>
      </c>
      <c r="L810">
        <v>3204.12</v>
      </c>
      <c r="M810" t="str">
        <f t="shared" si="24"/>
        <v>Aug</v>
      </c>
      <c r="N810">
        <f t="shared" si="25"/>
        <v>2025</v>
      </c>
    </row>
    <row r="811" spans="1:14" x14ac:dyDescent="0.3">
      <c r="A811" t="s">
        <v>1196</v>
      </c>
      <c r="B811" s="5">
        <v>45818</v>
      </c>
      <c r="C811" t="s">
        <v>66</v>
      </c>
      <c r="D811" t="s">
        <v>38</v>
      </c>
      <c r="E811" t="s">
        <v>39</v>
      </c>
      <c r="F811" t="s">
        <v>17</v>
      </c>
      <c r="G811" t="s">
        <v>18</v>
      </c>
      <c r="H811" t="s">
        <v>19</v>
      </c>
      <c r="I811">
        <v>69478</v>
      </c>
      <c r="J811">
        <v>3</v>
      </c>
      <c r="K811" t="s">
        <v>34</v>
      </c>
      <c r="L811">
        <v>13657.02</v>
      </c>
      <c r="M811" t="str">
        <f t="shared" si="24"/>
        <v>Jun</v>
      </c>
      <c r="N811">
        <f t="shared" si="25"/>
        <v>2025</v>
      </c>
    </row>
    <row r="812" spans="1:14" x14ac:dyDescent="0.3">
      <c r="A812" t="s">
        <v>1197</v>
      </c>
      <c r="B812" s="5">
        <v>45960</v>
      </c>
      <c r="C812" t="s">
        <v>44</v>
      </c>
      <c r="D812" t="s">
        <v>23</v>
      </c>
      <c r="E812" t="s">
        <v>24</v>
      </c>
      <c r="F812" t="s">
        <v>17</v>
      </c>
      <c r="G812" t="s">
        <v>76</v>
      </c>
      <c r="H812" t="s">
        <v>77</v>
      </c>
      <c r="I812">
        <v>2676</v>
      </c>
      <c r="J812">
        <v>3</v>
      </c>
      <c r="K812" t="s">
        <v>49</v>
      </c>
      <c r="L812">
        <v>650.87</v>
      </c>
      <c r="M812" t="str">
        <f t="shared" si="24"/>
        <v>Oct</v>
      </c>
      <c r="N812">
        <f t="shared" si="25"/>
        <v>2025</v>
      </c>
    </row>
    <row r="813" spans="1:14" x14ac:dyDescent="0.3">
      <c r="A813" t="s">
        <v>1198</v>
      </c>
      <c r="B813" s="5">
        <v>45901</v>
      </c>
      <c r="C813" t="s">
        <v>72</v>
      </c>
      <c r="D813" t="s">
        <v>23</v>
      </c>
      <c r="E813" t="s">
        <v>129</v>
      </c>
      <c r="F813" t="s">
        <v>46</v>
      </c>
      <c r="G813" t="s">
        <v>94</v>
      </c>
      <c r="H813" t="s">
        <v>95</v>
      </c>
      <c r="I813">
        <v>70315</v>
      </c>
      <c r="J813">
        <v>2</v>
      </c>
      <c r="K813" t="s">
        <v>53</v>
      </c>
      <c r="L813">
        <v>9014.2999999999993</v>
      </c>
      <c r="M813" t="str">
        <f t="shared" si="24"/>
        <v>Sep</v>
      </c>
      <c r="N813">
        <f t="shared" si="25"/>
        <v>2025</v>
      </c>
    </row>
    <row r="814" spans="1:14" x14ac:dyDescent="0.3">
      <c r="A814" t="s">
        <v>1200</v>
      </c>
      <c r="B814" s="5">
        <v>45965</v>
      </c>
      <c r="C814" t="s">
        <v>56</v>
      </c>
      <c r="D814" t="s">
        <v>15</v>
      </c>
      <c r="E814" t="s">
        <v>73</v>
      </c>
      <c r="F814" t="s">
        <v>17</v>
      </c>
      <c r="G814" t="s">
        <v>76</v>
      </c>
      <c r="H814" t="s">
        <v>77</v>
      </c>
      <c r="I814">
        <v>68248</v>
      </c>
      <c r="J814">
        <v>8</v>
      </c>
      <c r="K814" t="s">
        <v>20</v>
      </c>
      <c r="L814">
        <v>7367.18</v>
      </c>
      <c r="M814" t="str">
        <f t="shared" si="24"/>
        <v>Nov</v>
      </c>
      <c r="N814">
        <f t="shared" si="25"/>
        <v>2025</v>
      </c>
    </row>
    <row r="815" spans="1:14" x14ac:dyDescent="0.3">
      <c r="A815" t="s">
        <v>1201</v>
      </c>
      <c r="B815" s="5">
        <v>45723</v>
      </c>
      <c r="C815" t="s">
        <v>14</v>
      </c>
      <c r="D815" t="s">
        <v>32</v>
      </c>
      <c r="E815" t="s">
        <v>116</v>
      </c>
      <c r="F815" t="s">
        <v>25</v>
      </c>
      <c r="G815" t="s">
        <v>40</v>
      </c>
      <c r="H815" t="s">
        <v>41</v>
      </c>
      <c r="I815">
        <v>25293</v>
      </c>
      <c r="J815">
        <v>10</v>
      </c>
      <c r="K815" t="s">
        <v>34</v>
      </c>
      <c r="L815">
        <v>3142.67</v>
      </c>
      <c r="M815" t="str">
        <f t="shared" si="24"/>
        <v>Mar</v>
      </c>
      <c r="N815">
        <f t="shared" si="25"/>
        <v>2025</v>
      </c>
    </row>
    <row r="816" spans="1:14" x14ac:dyDescent="0.3">
      <c r="A816" t="s">
        <v>1202</v>
      </c>
      <c r="B816" s="5">
        <v>45731</v>
      </c>
      <c r="C816" t="s">
        <v>31</v>
      </c>
      <c r="D816" t="s">
        <v>23</v>
      </c>
      <c r="E816" t="s">
        <v>24</v>
      </c>
      <c r="F816" t="s">
        <v>46</v>
      </c>
      <c r="G816" t="s">
        <v>47</v>
      </c>
      <c r="H816" t="s">
        <v>48</v>
      </c>
      <c r="I816">
        <v>14855</v>
      </c>
      <c r="J816">
        <v>9</v>
      </c>
      <c r="K816" t="s">
        <v>28</v>
      </c>
      <c r="L816">
        <v>2580.7600000000002</v>
      </c>
      <c r="M816" t="str">
        <f t="shared" si="24"/>
        <v>Mar</v>
      </c>
      <c r="N816">
        <f t="shared" si="25"/>
        <v>2025</v>
      </c>
    </row>
    <row r="817" spans="1:14" x14ac:dyDescent="0.3">
      <c r="A817" t="s">
        <v>1203</v>
      </c>
      <c r="B817" s="5">
        <v>45800</v>
      </c>
      <c r="C817" t="s">
        <v>72</v>
      </c>
      <c r="D817" t="s">
        <v>15</v>
      </c>
      <c r="E817" t="s">
        <v>154</v>
      </c>
      <c r="F817" t="s">
        <v>17</v>
      </c>
      <c r="G817" t="s">
        <v>18</v>
      </c>
      <c r="H817" t="s">
        <v>19</v>
      </c>
      <c r="I817">
        <v>25611</v>
      </c>
      <c r="J817">
        <v>5</v>
      </c>
      <c r="K817" t="s">
        <v>49</v>
      </c>
      <c r="L817">
        <v>6866.19</v>
      </c>
      <c r="M817" t="str">
        <f t="shared" si="24"/>
        <v>May</v>
      </c>
      <c r="N817">
        <f t="shared" si="25"/>
        <v>2025</v>
      </c>
    </row>
    <row r="818" spans="1:14" x14ac:dyDescent="0.3">
      <c r="A818" t="s">
        <v>1204</v>
      </c>
      <c r="B818" s="5">
        <v>45790</v>
      </c>
      <c r="C818" t="s">
        <v>121</v>
      </c>
      <c r="D818" t="s">
        <v>15</v>
      </c>
      <c r="E818" t="s">
        <v>154</v>
      </c>
      <c r="F818" t="s">
        <v>25</v>
      </c>
      <c r="G818" t="s">
        <v>40</v>
      </c>
      <c r="H818" t="s">
        <v>41</v>
      </c>
      <c r="I818">
        <v>62338</v>
      </c>
      <c r="J818">
        <v>5</v>
      </c>
      <c r="K818" t="s">
        <v>53</v>
      </c>
      <c r="L818">
        <v>15523.67</v>
      </c>
      <c r="M818" t="str">
        <f t="shared" si="24"/>
        <v>May</v>
      </c>
      <c r="N818">
        <f t="shared" si="25"/>
        <v>2025</v>
      </c>
    </row>
    <row r="819" spans="1:14" x14ac:dyDescent="0.3">
      <c r="A819" t="s">
        <v>1205</v>
      </c>
      <c r="B819" s="5">
        <v>45789</v>
      </c>
      <c r="C819" t="s">
        <v>37</v>
      </c>
      <c r="D819" t="s">
        <v>32</v>
      </c>
      <c r="E819" t="s">
        <v>45</v>
      </c>
      <c r="F819" t="s">
        <v>25</v>
      </c>
      <c r="G819" t="s">
        <v>57</v>
      </c>
      <c r="H819" t="s">
        <v>58</v>
      </c>
      <c r="I819">
        <v>49373</v>
      </c>
      <c r="J819">
        <v>9</v>
      </c>
      <c r="K819" t="s">
        <v>28</v>
      </c>
      <c r="L819">
        <v>12552.67</v>
      </c>
      <c r="M819" t="str">
        <f t="shared" si="24"/>
        <v>May</v>
      </c>
      <c r="N819">
        <f t="shared" si="25"/>
        <v>2025</v>
      </c>
    </row>
    <row r="820" spans="1:14" x14ac:dyDescent="0.3">
      <c r="A820" t="s">
        <v>1206</v>
      </c>
      <c r="B820" s="5">
        <v>45669</v>
      </c>
      <c r="C820" t="s">
        <v>44</v>
      </c>
      <c r="D820" t="s">
        <v>15</v>
      </c>
      <c r="E820" t="s">
        <v>73</v>
      </c>
      <c r="F820" t="s">
        <v>46</v>
      </c>
      <c r="G820" t="s">
        <v>87</v>
      </c>
      <c r="H820" t="s">
        <v>88</v>
      </c>
      <c r="I820">
        <v>1425</v>
      </c>
      <c r="J820">
        <v>1</v>
      </c>
      <c r="K820" t="s">
        <v>20</v>
      </c>
      <c r="L820">
        <v>253.63</v>
      </c>
      <c r="M820" t="str">
        <f t="shared" si="24"/>
        <v>Jan</v>
      </c>
      <c r="N820">
        <f t="shared" si="25"/>
        <v>2025</v>
      </c>
    </row>
    <row r="821" spans="1:14" x14ac:dyDescent="0.3">
      <c r="A821" t="s">
        <v>1207</v>
      </c>
      <c r="B821" s="5">
        <v>45827</v>
      </c>
      <c r="C821" t="s">
        <v>14</v>
      </c>
      <c r="D821" t="s">
        <v>23</v>
      </c>
      <c r="E821" t="s">
        <v>82</v>
      </c>
      <c r="F821" t="s">
        <v>17</v>
      </c>
      <c r="G821" t="s">
        <v>104</v>
      </c>
      <c r="H821" t="s">
        <v>105</v>
      </c>
      <c r="I821">
        <v>18208</v>
      </c>
      <c r="J821">
        <v>5</v>
      </c>
      <c r="K821" t="s">
        <v>28</v>
      </c>
      <c r="L821">
        <v>2408.5700000000002</v>
      </c>
      <c r="M821" t="str">
        <f t="shared" si="24"/>
        <v>Jun</v>
      </c>
      <c r="N821">
        <f t="shared" si="25"/>
        <v>2025</v>
      </c>
    </row>
    <row r="822" spans="1:14" x14ac:dyDescent="0.3">
      <c r="A822" t="s">
        <v>1208</v>
      </c>
      <c r="B822" s="5">
        <v>45867</v>
      </c>
      <c r="C822" t="s">
        <v>14</v>
      </c>
      <c r="D822" t="s">
        <v>15</v>
      </c>
      <c r="E822" t="s">
        <v>73</v>
      </c>
      <c r="F822" t="s">
        <v>25</v>
      </c>
      <c r="G822" t="s">
        <v>40</v>
      </c>
      <c r="H822" t="s">
        <v>41</v>
      </c>
      <c r="I822">
        <v>18254</v>
      </c>
      <c r="J822">
        <v>5</v>
      </c>
      <c r="K822" t="s">
        <v>28</v>
      </c>
      <c r="L822">
        <v>2175.0700000000002</v>
      </c>
      <c r="M822" t="str">
        <f t="shared" si="24"/>
        <v>Jul</v>
      </c>
      <c r="N822">
        <f t="shared" si="25"/>
        <v>2025</v>
      </c>
    </row>
    <row r="823" spans="1:14" x14ac:dyDescent="0.3">
      <c r="A823" t="s">
        <v>1209</v>
      </c>
      <c r="B823" s="5">
        <v>45754</v>
      </c>
      <c r="C823" t="s">
        <v>37</v>
      </c>
      <c r="D823" t="s">
        <v>15</v>
      </c>
      <c r="E823" t="s">
        <v>73</v>
      </c>
      <c r="F823" t="s">
        <v>17</v>
      </c>
      <c r="G823" t="s">
        <v>104</v>
      </c>
      <c r="H823" t="s">
        <v>105</v>
      </c>
      <c r="I823">
        <v>50474</v>
      </c>
      <c r="J823">
        <v>7</v>
      </c>
      <c r="K823" t="s">
        <v>49</v>
      </c>
      <c r="L823">
        <v>8628.31</v>
      </c>
      <c r="M823" t="str">
        <f t="shared" si="24"/>
        <v>Apr</v>
      </c>
      <c r="N823">
        <f t="shared" si="25"/>
        <v>2025</v>
      </c>
    </row>
    <row r="824" spans="1:14" x14ac:dyDescent="0.3">
      <c r="A824" t="s">
        <v>1211</v>
      </c>
      <c r="B824" s="5">
        <v>45801</v>
      </c>
      <c r="C824" t="s">
        <v>91</v>
      </c>
      <c r="D824" t="s">
        <v>23</v>
      </c>
      <c r="E824" t="s">
        <v>129</v>
      </c>
      <c r="F824" t="s">
        <v>17</v>
      </c>
      <c r="G824" t="s">
        <v>76</v>
      </c>
      <c r="H824" t="s">
        <v>77</v>
      </c>
      <c r="I824">
        <v>18647</v>
      </c>
      <c r="J824">
        <v>9</v>
      </c>
      <c r="K824" t="s">
        <v>20</v>
      </c>
      <c r="L824">
        <v>2476</v>
      </c>
      <c r="M824" t="str">
        <f t="shared" si="24"/>
        <v>May</v>
      </c>
      <c r="N824">
        <f t="shared" si="25"/>
        <v>2025</v>
      </c>
    </row>
    <row r="825" spans="1:14" x14ac:dyDescent="0.3">
      <c r="A825" t="s">
        <v>1212</v>
      </c>
      <c r="B825" s="5">
        <v>45985</v>
      </c>
      <c r="C825" t="s">
        <v>31</v>
      </c>
      <c r="D825" t="s">
        <v>23</v>
      </c>
      <c r="E825" t="s">
        <v>82</v>
      </c>
      <c r="F825" t="s">
        <v>17</v>
      </c>
      <c r="G825" t="s">
        <v>104</v>
      </c>
      <c r="H825" t="s">
        <v>105</v>
      </c>
      <c r="I825">
        <v>66431</v>
      </c>
      <c r="J825">
        <v>10</v>
      </c>
      <c r="K825" t="s">
        <v>53</v>
      </c>
      <c r="L825">
        <v>15315.42</v>
      </c>
      <c r="M825" t="str">
        <f t="shared" si="24"/>
        <v>Nov</v>
      </c>
      <c r="N825">
        <f t="shared" si="25"/>
        <v>2025</v>
      </c>
    </row>
    <row r="826" spans="1:14" x14ac:dyDescent="0.3">
      <c r="A826" t="s">
        <v>1213</v>
      </c>
      <c r="B826" s="5">
        <v>45817</v>
      </c>
      <c r="C826" t="s">
        <v>44</v>
      </c>
      <c r="D826" t="s">
        <v>32</v>
      </c>
      <c r="E826" t="s">
        <v>45</v>
      </c>
      <c r="F826" t="s">
        <v>17</v>
      </c>
      <c r="G826" t="s">
        <v>18</v>
      </c>
      <c r="H826" t="s">
        <v>19</v>
      </c>
      <c r="I826">
        <v>79339</v>
      </c>
      <c r="J826">
        <v>9</v>
      </c>
      <c r="K826" t="s">
        <v>34</v>
      </c>
      <c r="L826">
        <v>14901.35</v>
      </c>
      <c r="M826" t="str">
        <f t="shared" si="24"/>
        <v>Jun</v>
      </c>
      <c r="N826">
        <f t="shared" si="25"/>
        <v>2025</v>
      </c>
    </row>
    <row r="827" spans="1:14" x14ac:dyDescent="0.3">
      <c r="A827" t="s">
        <v>1214</v>
      </c>
      <c r="B827" s="5">
        <v>45886</v>
      </c>
      <c r="C827" t="s">
        <v>66</v>
      </c>
      <c r="D827" t="s">
        <v>32</v>
      </c>
      <c r="E827" t="s">
        <v>116</v>
      </c>
      <c r="F827" t="s">
        <v>46</v>
      </c>
      <c r="G827" t="s">
        <v>47</v>
      </c>
      <c r="H827" t="s">
        <v>48</v>
      </c>
      <c r="I827">
        <v>52217</v>
      </c>
      <c r="J827">
        <v>5</v>
      </c>
      <c r="K827" t="s">
        <v>20</v>
      </c>
      <c r="L827">
        <v>14588.11</v>
      </c>
      <c r="M827" t="str">
        <f t="shared" si="24"/>
        <v>Aug</v>
      </c>
      <c r="N827">
        <f t="shared" si="25"/>
        <v>2025</v>
      </c>
    </row>
    <row r="828" spans="1:14" x14ac:dyDescent="0.3">
      <c r="A828" t="s">
        <v>1215</v>
      </c>
      <c r="B828" s="5">
        <v>45713</v>
      </c>
      <c r="C828" t="s">
        <v>91</v>
      </c>
      <c r="D828" t="s">
        <v>15</v>
      </c>
      <c r="E828" t="s">
        <v>154</v>
      </c>
      <c r="F828" t="s">
        <v>25</v>
      </c>
      <c r="G828" t="s">
        <v>26</v>
      </c>
      <c r="H828" t="s">
        <v>27</v>
      </c>
      <c r="I828">
        <v>20865</v>
      </c>
      <c r="J828">
        <v>4</v>
      </c>
      <c r="K828" t="s">
        <v>28</v>
      </c>
      <c r="L828">
        <v>3219.92</v>
      </c>
      <c r="M828" t="str">
        <f t="shared" si="24"/>
        <v>Feb</v>
      </c>
      <c r="N828">
        <f t="shared" si="25"/>
        <v>2025</v>
      </c>
    </row>
    <row r="829" spans="1:14" x14ac:dyDescent="0.3">
      <c r="A829" t="s">
        <v>1216</v>
      </c>
      <c r="B829" s="5">
        <v>46006</v>
      </c>
      <c r="C829" t="s">
        <v>91</v>
      </c>
      <c r="D829" t="s">
        <v>32</v>
      </c>
      <c r="E829" t="s">
        <v>33</v>
      </c>
      <c r="F829" t="s">
        <v>17</v>
      </c>
      <c r="G829" t="s">
        <v>104</v>
      </c>
      <c r="H829" t="s">
        <v>105</v>
      </c>
      <c r="I829">
        <v>48265</v>
      </c>
      <c r="J829">
        <v>1</v>
      </c>
      <c r="K829" t="s">
        <v>20</v>
      </c>
      <c r="L829">
        <v>6890.96</v>
      </c>
      <c r="M829" t="str">
        <f t="shared" si="24"/>
        <v>Dec</v>
      </c>
      <c r="N829">
        <f t="shared" si="25"/>
        <v>2025</v>
      </c>
    </row>
    <row r="830" spans="1:14" x14ac:dyDescent="0.3">
      <c r="A830" t="s">
        <v>1217</v>
      </c>
      <c r="B830" s="5">
        <v>46018</v>
      </c>
      <c r="C830" t="s">
        <v>44</v>
      </c>
      <c r="D830" t="s">
        <v>23</v>
      </c>
      <c r="E830" t="s">
        <v>24</v>
      </c>
      <c r="F830" t="s">
        <v>17</v>
      </c>
      <c r="G830" t="s">
        <v>104</v>
      </c>
      <c r="H830" t="s">
        <v>105</v>
      </c>
      <c r="I830">
        <v>49739</v>
      </c>
      <c r="J830">
        <v>10</v>
      </c>
      <c r="K830" t="s">
        <v>49</v>
      </c>
      <c r="L830">
        <v>11011.23</v>
      </c>
      <c r="M830" t="str">
        <f t="shared" si="24"/>
        <v>Dec</v>
      </c>
      <c r="N830">
        <f t="shared" si="25"/>
        <v>2025</v>
      </c>
    </row>
    <row r="831" spans="1:14" x14ac:dyDescent="0.3">
      <c r="A831" t="s">
        <v>1218</v>
      </c>
      <c r="B831" s="5">
        <v>45846</v>
      </c>
      <c r="C831" t="s">
        <v>44</v>
      </c>
      <c r="D831" t="s">
        <v>38</v>
      </c>
      <c r="E831" t="s">
        <v>67</v>
      </c>
      <c r="F831" t="s">
        <v>17</v>
      </c>
      <c r="G831" t="s">
        <v>18</v>
      </c>
      <c r="H831" t="s">
        <v>19</v>
      </c>
      <c r="I831">
        <v>40594</v>
      </c>
      <c r="J831">
        <v>3</v>
      </c>
      <c r="K831" t="s">
        <v>28</v>
      </c>
      <c r="L831">
        <v>10657.6</v>
      </c>
      <c r="M831" t="str">
        <f t="shared" si="24"/>
        <v>Jul</v>
      </c>
      <c r="N831">
        <f t="shared" si="25"/>
        <v>2025</v>
      </c>
    </row>
    <row r="832" spans="1:14" x14ac:dyDescent="0.3">
      <c r="A832" t="s">
        <v>1219</v>
      </c>
      <c r="B832" s="5">
        <v>45702</v>
      </c>
      <c r="C832" t="s">
        <v>121</v>
      </c>
      <c r="D832" t="s">
        <v>32</v>
      </c>
      <c r="E832" t="s">
        <v>45</v>
      </c>
      <c r="F832" t="s">
        <v>46</v>
      </c>
      <c r="G832" t="s">
        <v>87</v>
      </c>
      <c r="H832" t="s">
        <v>88</v>
      </c>
      <c r="I832">
        <v>12978</v>
      </c>
      <c r="J832">
        <v>7</v>
      </c>
      <c r="K832" t="s">
        <v>53</v>
      </c>
      <c r="L832">
        <v>3119.05</v>
      </c>
      <c r="M832" t="str">
        <f t="shared" si="24"/>
        <v>Feb</v>
      </c>
      <c r="N832">
        <f t="shared" si="25"/>
        <v>2025</v>
      </c>
    </row>
    <row r="833" spans="1:14" x14ac:dyDescent="0.3">
      <c r="A833" t="s">
        <v>1220</v>
      </c>
      <c r="B833" s="5">
        <v>45813</v>
      </c>
      <c r="C833" t="s">
        <v>91</v>
      </c>
      <c r="D833" t="s">
        <v>32</v>
      </c>
      <c r="E833" t="s">
        <v>33</v>
      </c>
      <c r="F833" t="s">
        <v>17</v>
      </c>
      <c r="G833" t="s">
        <v>76</v>
      </c>
      <c r="H833" t="s">
        <v>77</v>
      </c>
      <c r="I833">
        <v>44069</v>
      </c>
      <c r="J833">
        <v>7</v>
      </c>
      <c r="K833" t="s">
        <v>53</v>
      </c>
      <c r="L833">
        <v>4320.1099999999997</v>
      </c>
      <c r="M833" t="str">
        <f t="shared" si="24"/>
        <v>Jun</v>
      </c>
      <c r="N833">
        <f t="shared" si="25"/>
        <v>2025</v>
      </c>
    </row>
    <row r="834" spans="1:14" x14ac:dyDescent="0.3">
      <c r="A834" t="s">
        <v>1221</v>
      </c>
      <c r="B834" s="5">
        <v>45790</v>
      </c>
      <c r="C834" t="s">
        <v>72</v>
      </c>
      <c r="D834" t="s">
        <v>15</v>
      </c>
      <c r="E834" t="s">
        <v>16</v>
      </c>
      <c r="F834" t="s">
        <v>46</v>
      </c>
      <c r="G834" t="s">
        <v>94</v>
      </c>
      <c r="H834" t="s">
        <v>95</v>
      </c>
      <c r="I834">
        <v>3886</v>
      </c>
      <c r="J834">
        <v>4</v>
      </c>
      <c r="K834" t="s">
        <v>28</v>
      </c>
      <c r="L834">
        <v>447.43</v>
      </c>
      <c r="M834" t="str">
        <f t="shared" si="24"/>
        <v>May</v>
      </c>
      <c r="N834">
        <f t="shared" si="25"/>
        <v>2025</v>
      </c>
    </row>
    <row r="835" spans="1:14" x14ac:dyDescent="0.3">
      <c r="A835" t="s">
        <v>1222</v>
      </c>
      <c r="B835" s="5">
        <v>45737</v>
      </c>
      <c r="C835" t="s">
        <v>56</v>
      </c>
      <c r="D835" t="s">
        <v>23</v>
      </c>
      <c r="E835" t="s">
        <v>82</v>
      </c>
      <c r="F835" t="s">
        <v>25</v>
      </c>
      <c r="G835" t="s">
        <v>40</v>
      </c>
      <c r="H835" t="s">
        <v>41</v>
      </c>
      <c r="I835">
        <v>1448</v>
      </c>
      <c r="J835">
        <v>10</v>
      </c>
      <c r="K835" t="s">
        <v>49</v>
      </c>
      <c r="L835">
        <v>388.48</v>
      </c>
      <c r="M835" t="str">
        <f t="shared" ref="M835:M898" si="26">TEXT(B835,"mmm")</f>
        <v>Mar</v>
      </c>
      <c r="N835">
        <f t="shared" ref="N835:N898" si="27">YEAR(B835)</f>
        <v>2025</v>
      </c>
    </row>
    <row r="836" spans="1:14" x14ac:dyDescent="0.3">
      <c r="A836" t="s">
        <v>1223</v>
      </c>
      <c r="B836" s="5">
        <v>46007</v>
      </c>
      <c r="C836" t="s">
        <v>56</v>
      </c>
      <c r="D836" t="s">
        <v>38</v>
      </c>
      <c r="E836" t="s">
        <v>67</v>
      </c>
      <c r="F836" t="s">
        <v>46</v>
      </c>
      <c r="G836" t="s">
        <v>87</v>
      </c>
      <c r="H836" t="s">
        <v>88</v>
      </c>
      <c r="I836">
        <v>24312</v>
      </c>
      <c r="J836">
        <v>7</v>
      </c>
      <c r="K836" t="s">
        <v>53</v>
      </c>
      <c r="L836">
        <v>2280.96</v>
      </c>
      <c r="M836" t="str">
        <f t="shared" si="26"/>
        <v>Dec</v>
      </c>
      <c r="N836">
        <f t="shared" si="27"/>
        <v>2025</v>
      </c>
    </row>
    <row r="837" spans="1:14" x14ac:dyDescent="0.3">
      <c r="A837" t="s">
        <v>1224</v>
      </c>
      <c r="B837" s="5">
        <v>45964</v>
      </c>
      <c r="C837" t="s">
        <v>72</v>
      </c>
      <c r="D837" t="s">
        <v>15</v>
      </c>
      <c r="E837" t="s">
        <v>73</v>
      </c>
      <c r="F837" t="s">
        <v>25</v>
      </c>
      <c r="G837" t="s">
        <v>26</v>
      </c>
      <c r="H837" t="s">
        <v>27</v>
      </c>
      <c r="I837">
        <v>46794</v>
      </c>
      <c r="J837">
        <v>8</v>
      </c>
      <c r="K837" t="s">
        <v>34</v>
      </c>
      <c r="L837">
        <v>5875.48</v>
      </c>
      <c r="M837" t="str">
        <f t="shared" si="26"/>
        <v>Nov</v>
      </c>
      <c r="N837">
        <f t="shared" si="27"/>
        <v>2025</v>
      </c>
    </row>
    <row r="838" spans="1:14" x14ac:dyDescent="0.3">
      <c r="A838" t="s">
        <v>1225</v>
      </c>
      <c r="B838" s="5">
        <v>45769</v>
      </c>
      <c r="C838" t="s">
        <v>72</v>
      </c>
      <c r="D838" t="s">
        <v>15</v>
      </c>
      <c r="E838" t="s">
        <v>73</v>
      </c>
      <c r="F838" t="s">
        <v>46</v>
      </c>
      <c r="G838" t="s">
        <v>47</v>
      </c>
      <c r="H838" t="s">
        <v>48</v>
      </c>
      <c r="I838">
        <v>77388</v>
      </c>
      <c r="J838">
        <v>5</v>
      </c>
      <c r="K838" t="s">
        <v>28</v>
      </c>
      <c r="L838">
        <v>11489.52</v>
      </c>
      <c r="M838" t="str">
        <f t="shared" si="26"/>
        <v>Apr</v>
      </c>
      <c r="N838">
        <f t="shared" si="27"/>
        <v>2025</v>
      </c>
    </row>
    <row r="839" spans="1:14" x14ac:dyDescent="0.3">
      <c r="A839" t="s">
        <v>1226</v>
      </c>
      <c r="B839" s="5">
        <v>45682</v>
      </c>
      <c r="C839" t="s">
        <v>56</v>
      </c>
      <c r="D839" t="s">
        <v>32</v>
      </c>
      <c r="E839" t="s">
        <v>116</v>
      </c>
      <c r="F839" t="s">
        <v>25</v>
      </c>
      <c r="G839" t="s">
        <v>40</v>
      </c>
      <c r="H839" t="s">
        <v>41</v>
      </c>
      <c r="I839">
        <v>76275</v>
      </c>
      <c r="J839">
        <v>1</v>
      </c>
      <c r="K839" t="s">
        <v>53</v>
      </c>
      <c r="L839">
        <v>11798.22</v>
      </c>
      <c r="M839" t="str">
        <f t="shared" si="26"/>
        <v>Jan</v>
      </c>
      <c r="N839">
        <f t="shared" si="27"/>
        <v>2025</v>
      </c>
    </row>
    <row r="840" spans="1:14" x14ac:dyDescent="0.3">
      <c r="A840" t="s">
        <v>1227</v>
      </c>
      <c r="B840" s="5">
        <v>45806</v>
      </c>
      <c r="C840" t="s">
        <v>44</v>
      </c>
      <c r="D840" t="s">
        <v>23</v>
      </c>
      <c r="E840" t="s">
        <v>82</v>
      </c>
      <c r="F840" t="s">
        <v>25</v>
      </c>
      <c r="G840" t="s">
        <v>40</v>
      </c>
      <c r="H840" t="s">
        <v>41</v>
      </c>
      <c r="I840">
        <v>64533</v>
      </c>
      <c r="J840">
        <v>8</v>
      </c>
      <c r="K840" t="s">
        <v>34</v>
      </c>
      <c r="L840">
        <v>13576.95</v>
      </c>
      <c r="M840" t="str">
        <f t="shared" si="26"/>
        <v>May</v>
      </c>
      <c r="N840">
        <f t="shared" si="27"/>
        <v>2025</v>
      </c>
    </row>
    <row r="841" spans="1:14" x14ac:dyDescent="0.3">
      <c r="A841" t="s">
        <v>1228</v>
      </c>
      <c r="B841" s="5">
        <v>45676</v>
      </c>
      <c r="C841" t="s">
        <v>121</v>
      </c>
      <c r="D841" t="s">
        <v>23</v>
      </c>
      <c r="E841" t="s">
        <v>24</v>
      </c>
      <c r="F841" t="s">
        <v>25</v>
      </c>
      <c r="G841" t="s">
        <v>40</v>
      </c>
      <c r="H841" t="s">
        <v>41</v>
      </c>
      <c r="I841">
        <v>21764</v>
      </c>
      <c r="J841">
        <v>5</v>
      </c>
      <c r="K841" t="s">
        <v>20</v>
      </c>
      <c r="L841">
        <v>3209.39</v>
      </c>
      <c r="M841" t="str">
        <f t="shared" si="26"/>
        <v>Jan</v>
      </c>
      <c r="N841">
        <f t="shared" si="27"/>
        <v>2025</v>
      </c>
    </row>
    <row r="842" spans="1:14" x14ac:dyDescent="0.3">
      <c r="A842" t="s">
        <v>1230</v>
      </c>
      <c r="B842" s="5">
        <v>46022</v>
      </c>
      <c r="C842" t="s">
        <v>56</v>
      </c>
      <c r="D842" t="s">
        <v>38</v>
      </c>
      <c r="E842" t="s">
        <v>39</v>
      </c>
      <c r="F842" t="s">
        <v>17</v>
      </c>
      <c r="G842" t="s">
        <v>104</v>
      </c>
      <c r="H842" t="s">
        <v>105</v>
      </c>
      <c r="I842">
        <v>24046</v>
      </c>
      <c r="J842">
        <v>1</v>
      </c>
      <c r="K842" t="s">
        <v>28</v>
      </c>
      <c r="L842">
        <v>4992.67</v>
      </c>
      <c r="M842" t="str">
        <f t="shared" si="26"/>
        <v>Dec</v>
      </c>
      <c r="N842">
        <f t="shared" si="27"/>
        <v>2025</v>
      </c>
    </row>
    <row r="843" spans="1:14" x14ac:dyDescent="0.3">
      <c r="A843" t="s">
        <v>1231</v>
      </c>
      <c r="B843" s="5">
        <v>45731</v>
      </c>
      <c r="C843" t="s">
        <v>66</v>
      </c>
      <c r="D843" t="s">
        <v>32</v>
      </c>
      <c r="E843" t="s">
        <v>116</v>
      </c>
      <c r="F843" t="s">
        <v>46</v>
      </c>
      <c r="G843" t="s">
        <v>47</v>
      </c>
      <c r="H843" t="s">
        <v>48</v>
      </c>
      <c r="I843">
        <v>2221</v>
      </c>
      <c r="J843">
        <v>7</v>
      </c>
      <c r="K843" t="s">
        <v>49</v>
      </c>
      <c r="L843">
        <v>556.58000000000004</v>
      </c>
      <c r="M843" t="str">
        <f t="shared" si="26"/>
        <v>Mar</v>
      </c>
      <c r="N843">
        <f t="shared" si="27"/>
        <v>2025</v>
      </c>
    </row>
    <row r="844" spans="1:14" x14ac:dyDescent="0.3">
      <c r="A844" t="s">
        <v>1232</v>
      </c>
      <c r="B844" s="5">
        <v>45730</v>
      </c>
      <c r="C844" t="s">
        <v>121</v>
      </c>
      <c r="D844" t="s">
        <v>15</v>
      </c>
      <c r="E844" t="s">
        <v>16</v>
      </c>
      <c r="F844" t="s">
        <v>25</v>
      </c>
      <c r="G844" t="s">
        <v>40</v>
      </c>
      <c r="H844" t="s">
        <v>41</v>
      </c>
      <c r="I844">
        <v>13943</v>
      </c>
      <c r="J844">
        <v>9</v>
      </c>
      <c r="K844" t="s">
        <v>28</v>
      </c>
      <c r="L844">
        <v>3576.65</v>
      </c>
      <c r="M844" t="str">
        <f t="shared" si="26"/>
        <v>Mar</v>
      </c>
      <c r="N844">
        <f t="shared" si="27"/>
        <v>2025</v>
      </c>
    </row>
    <row r="845" spans="1:14" x14ac:dyDescent="0.3">
      <c r="A845" t="s">
        <v>1233</v>
      </c>
      <c r="B845" s="5">
        <v>45955</v>
      </c>
      <c r="C845" t="s">
        <v>121</v>
      </c>
      <c r="D845" t="s">
        <v>32</v>
      </c>
      <c r="E845" t="s">
        <v>116</v>
      </c>
      <c r="F845" t="s">
        <v>25</v>
      </c>
      <c r="G845" t="s">
        <v>40</v>
      </c>
      <c r="H845" t="s">
        <v>41</v>
      </c>
      <c r="I845">
        <v>38348</v>
      </c>
      <c r="J845">
        <v>6</v>
      </c>
      <c r="K845" t="s">
        <v>20</v>
      </c>
      <c r="L845">
        <v>4919.28</v>
      </c>
      <c r="M845" t="str">
        <f t="shared" si="26"/>
        <v>Oct</v>
      </c>
      <c r="N845">
        <f t="shared" si="27"/>
        <v>2025</v>
      </c>
    </row>
    <row r="846" spans="1:14" x14ac:dyDescent="0.3">
      <c r="A846" t="s">
        <v>1234</v>
      </c>
      <c r="B846" s="5">
        <v>45798</v>
      </c>
      <c r="C846" t="s">
        <v>91</v>
      </c>
      <c r="D846" t="s">
        <v>15</v>
      </c>
      <c r="E846" t="s">
        <v>73</v>
      </c>
      <c r="F846" t="s">
        <v>46</v>
      </c>
      <c r="G846" t="s">
        <v>87</v>
      </c>
      <c r="H846" t="s">
        <v>88</v>
      </c>
      <c r="I846">
        <v>53317</v>
      </c>
      <c r="J846">
        <v>2</v>
      </c>
      <c r="K846" t="s">
        <v>34</v>
      </c>
      <c r="L846">
        <v>9501.93</v>
      </c>
      <c r="M846" t="str">
        <f t="shared" si="26"/>
        <v>May</v>
      </c>
      <c r="N846">
        <f t="shared" si="27"/>
        <v>2025</v>
      </c>
    </row>
    <row r="847" spans="1:14" x14ac:dyDescent="0.3">
      <c r="A847" t="s">
        <v>1235</v>
      </c>
      <c r="B847" s="5">
        <v>46003</v>
      </c>
      <c r="C847" t="s">
        <v>56</v>
      </c>
      <c r="D847" t="s">
        <v>38</v>
      </c>
      <c r="E847" t="s">
        <v>39</v>
      </c>
      <c r="F847" t="s">
        <v>25</v>
      </c>
      <c r="G847" t="s">
        <v>57</v>
      </c>
      <c r="H847" t="s">
        <v>58</v>
      </c>
      <c r="I847">
        <v>60924</v>
      </c>
      <c r="J847">
        <v>3</v>
      </c>
      <c r="K847" t="s">
        <v>28</v>
      </c>
      <c r="L847">
        <v>9780.1200000000008</v>
      </c>
      <c r="M847" t="str">
        <f t="shared" si="26"/>
        <v>Dec</v>
      </c>
      <c r="N847">
        <f t="shared" si="27"/>
        <v>2025</v>
      </c>
    </row>
    <row r="848" spans="1:14" x14ac:dyDescent="0.3">
      <c r="A848" t="s">
        <v>1236</v>
      </c>
      <c r="B848" s="5">
        <v>45953</v>
      </c>
      <c r="C848" t="s">
        <v>121</v>
      </c>
      <c r="D848" t="s">
        <v>38</v>
      </c>
      <c r="E848" t="s">
        <v>39</v>
      </c>
      <c r="F848" t="s">
        <v>46</v>
      </c>
      <c r="G848" t="s">
        <v>87</v>
      </c>
      <c r="H848" t="s">
        <v>88</v>
      </c>
      <c r="I848">
        <v>79200</v>
      </c>
      <c r="J848">
        <v>10</v>
      </c>
      <c r="K848" t="s">
        <v>20</v>
      </c>
      <c r="L848">
        <v>7706.42</v>
      </c>
      <c r="M848" t="str">
        <f t="shared" si="26"/>
        <v>Oct</v>
      </c>
      <c r="N848">
        <f t="shared" si="27"/>
        <v>2025</v>
      </c>
    </row>
    <row r="849" spans="1:14" x14ac:dyDescent="0.3">
      <c r="A849" t="s">
        <v>1237</v>
      </c>
      <c r="B849" s="5">
        <v>45698</v>
      </c>
      <c r="C849" t="s">
        <v>72</v>
      </c>
      <c r="D849" t="s">
        <v>38</v>
      </c>
      <c r="E849" t="s">
        <v>39</v>
      </c>
      <c r="F849" t="s">
        <v>25</v>
      </c>
      <c r="G849" t="s">
        <v>26</v>
      </c>
      <c r="H849" t="s">
        <v>27</v>
      </c>
      <c r="I849">
        <v>37274</v>
      </c>
      <c r="J849">
        <v>8</v>
      </c>
      <c r="K849" t="s">
        <v>20</v>
      </c>
      <c r="L849">
        <v>3896.81</v>
      </c>
      <c r="M849" t="str">
        <f t="shared" si="26"/>
        <v>Feb</v>
      </c>
      <c r="N849">
        <f t="shared" si="27"/>
        <v>2025</v>
      </c>
    </row>
    <row r="850" spans="1:14" x14ac:dyDescent="0.3">
      <c r="A850" t="s">
        <v>1238</v>
      </c>
      <c r="B850" s="5">
        <v>45788</v>
      </c>
      <c r="C850" t="s">
        <v>72</v>
      </c>
      <c r="D850" t="s">
        <v>32</v>
      </c>
      <c r="E850" t="s">
        <v>45</v>
      </c>
      <c r="F850" t="s">
        <v>17</v>
      </c>
      <c r="G850" t="s">
        <v>76</v>
      </c>
      <c r="H850" t="s">
        <v>77</v>
      </c>
      <c r="I850">
        <v>21298</v>
      </c>
      <c r="J850">
        <v>8</v>
      </c>
      <c r="K850" t="s">
        <v>34</v>
      </c>
      <c r="L850">
        <v>4799.29</v>
      </c>
      <c r="M850" t="str">
        <f t="shared" si="26"/>
        <v>May</v>
      </c>
      <c r="N850">
        <f t="shared" si="27"/>
        <v>2025</v>
      </c>
    </row>
    <row r="851" spans="1:14" x14ac:dyDescent="0.3">
      <c r="A851" t="s">
        <v>1239</v>
      </c>
      <c r="B851" s="5">
        <v>45733</v>
      </c>
      <c r="C851" t="s">
        <v>14</v>
      </c>
      <c r="D851" t="s">
        <v>38</v>
      </c>
      <c r="E851" t="s">
        <v>67</v>
      </c>
      <c r="F851" t="s">
        <v>17</v>
      </c>
      <c r="G851" t="s">
        <v>18</v>
      </c>
      <c r="H851" t="s">
        <v>19</v>
      </c>
      <c r="I851">
        <v>6351</v>
      </c>
      <c r="J851">
        <v>6</v>
      </c>
      <c r="K851" t="s">
        <v>53</v>
      </c>
      <c r="L851">
        <v>1382.69</v>
      </c>
      <c r="M851" t="str">
        <f t="shared" si="26"/>
        <v>Mar</v>
      </c>
      <c r="N851">
        <f t="shared" si="27"/>
        <v>2025</v>
      </c>
    </row>
    <row r="852" spans="1:14" x14ac:dyDescent="0.3">
      <c r="A852" t="s">
        <v>1240</v>
      </c>
      <c r="B852" s="5">
        <v>45802</v>
      </c>
      <c r="C852" t="s">
        <v>121</v>
      </c>
      <c r="D852" t="s">
        <v>23</v>
      </c>
      <c r="E852" t="s">
        <v>82</v>
      </c>
      <c r="F852" t="s">
        <v>46</v>
      </c>
      <c r="G852" t="s">
        <v>47</v>
      </c>
      <c r="H852" t="s">
        <v>48</v>
      </c>
      <c r="I852">
        <v>41774</v>
      </c>
      <c r="J852">
        <v>4</v>
      </c>
      <c r="K852" t="s">
        <v>34</v>
      </c>
      <c r="L852">
        <v>5263.9</v>
      </c>
      <c r="M852" t="str">
        <f t="shared" si="26"/>
        <v>May</v>
      </c>
      <c r="N852">
        <f t="shared" si="27"/>
        <v>2025</v>
      </c>
    </row>
    <row r="853" spans="1:14" x14ac:dyDescent="0.3">
      <c r="A853" t="s">
        <v>1241</v>
      </c>
      <c r="B853" s="5">
        <v>45857</v>
      </c>
      <c r="C853" t="s">
        <v>121</v>
      </c>
      <c r="D853" t="s">
        <v>23</v>
      </c>
      <c r="E853" t="s">
        <v>82</v>
      </c>
      <c r="F853" t="s">
        <v>46</v>
      </c>
      <c r="G853" t="s">
        <v>94</v>
      </c>
      <c r="H853" t="s">
        <v>95</v>
      </c>
      <c r="I853">
        <v>18228</v>
      </c>
      <c r="J853">
        <v>2</v>
      </c>
      <c r="K853" t="s">
        <v>20</v>
      </c>
      <c r="L853">
        <v>1734.18</v>
      </c>
      <c r="M853" t="str">
        <f t="shared" si="26"/>
        <v>Jul</v>
      </c>
      <c r="N853">
        <f t="shared" si="27"/>
        <v>2025</v>
      </c>
    </row>
    <row r="854" spans="1:14" x14ac:dyDescent="0.3">
      <c r="A854" t="s">
        <v>1242</v>
      </c>
      <c r="B854" s="5">
        <v>45832</v>
      </c>
      <c r="C854" t="s">
        <v>14</v>
      </c>
      <c r="D854" t="s">
        <v>38</v>
      </c>
      <c r="E854" t="s">
        <v>52</v>
      </c>
      <c r="F854" t="s">
        <v>46</v>
      </c>
      <c r="G854" t="s">
        <v>87</v>
      </c>
      <c r="H854" t="s">
        <v>88</v>
      </c>
      <c r="I854">
        <v>17302</v>
      </c>
      <c r="J854">
        <v>7</v>
      </c>
      <c r="K854" t="s">
        <v>28</v>
      </c>
      <c r="L854">
        <v>3357.75</v>
      </c>
      <c r="M854" t="str">
        <f t="shared" si="26"/>
        <v>Jun</v>
      </c>
      <c r="N854">
        <f t="shared" si="27"/>
        <v>2025</v>
      </c>
    </row>
    <row r="855" spans="1:14" x14ac:dyDescent="0.3">
      <c r="A855" t="s">
        <v>1243</v>
      </c>
      <c r="B855" s="5">
        <v>45765</v>
      </c>
      <c r="C855" t="s">
        <v>66</v>
      </c>
      <c r="D855" t="s">
        <v>38</v>
      </c>
      <c r="E855" t="s">
        <v>67</v>
      </c>
      <c r="F855" t="s">
        <v>25</v>
      </c>
      <c r="G855" t="s">
        <v>40</v>
      </c>
      <c r="H855" t="s">
        <v>41</v>
      </c>
      <c r="I855">
        <v>11038</v>
      </c>
      <c r="J855">
        <v>8</v>
      </c>
      <c r="K855" t="s">
        <v>20</v>
      </c>
      <c r="L855">
        <v>3019.87</v>
      </c>
      <c r="M855" t="str">
        <f t="shared" si="26"/>
        <v>Apr</v>
      </c>
      <c r="N855">
        <f t="shared" si="27"/>
        <v>2025</v>
      </c>
    </row>
    <row r="856" spans="1:14" x14ac:dyDescent="0.3">
      <c r="A856" t="s">
        <v>1245</v>
      </c>
      <c r="B856" s="5">
        <v>45686</v>
      </c>
      <c r="C856" t="s">
        <v>66</v>
      </c>
      <c r="D856" t="s">
        <v>23</v>
      </c>
      <c r="E856" t="s">
        <v>82</v>
      </c>
      <c r="F856" t="s">
        <v>17</v>
      </c>
      <c r="G856" t="s">
        <v>104</v>
      </c>
      <c r="H856" t="s">
        <v>105</v>
      </c>
      <c r="I856">
        <v>35337</v>
      </c>
      <c r="J856">
        <v>5</v>
      </c>
      <c r="K856" t="s">
        <v>20</v>
      </c>
      <c r="L856">
        <v>5588.64</v>
      </c>
      <c r="M856" t="str">
        <f t="shared" si="26"/>
        <v>Jan</v>
      </c>
      <c r="N856">
        <f t="shared" si="27"/>
        <v>2025</v>
      </c>
    </row>
    <row r="857" spans="1:14" x14ac:dyDescent="0.3">
      <c r="A857" t="s">
        <v>1246</v>
      </c>
      <c r="B857" s="5">
        <v>45756</v>
      </c>
      <c r="C857" t="s">
        <v>91</v>
      </c>
      <c r="D857" t="s">
        <v>38</v>
      </c>
      <c r="E857" t="s">
        <v>52</v>
      </c>
      <c r="F857" t="s">
        <v>25</v>
      </c>
      <c r="G857" t="s">
        <v>40</v>
      </c>
      <c r="H857" t="s">
        <v>41</v>
      </c>
      <c r="I857">
        <v>38199</v>
      </c>
      <c r="J857">
        <v>1</v>
      </c>
      <c r="K857" t="s">
        <v>53</v>
      </c>
      <c r="L857">
        <v>8041.74</v>
      </c>
      <c r="M857" t="str">
        <f t="shared" si="26"/>
        <v>Apr</v>
      </c>
      <c r="N857">
        <f t="shared" si="27"/>
        <v>2025</v>
      </c>
    </row>
    <row r="858" spans="1:14" x14ac:dyDescent="0.3">
      <c r="A858" t="s">
        <v>1247</v>
      </c>
      <c r="B858" s="5">
        <v>45712</v>
      </c>
      <c r="C858" t="s">
        <v>37</v>
      </c>
      <c r="D858" t="s">
        <v>32</v>
      </c>
      <c r="E858" t="s">
        <v>45</v>
      </c>
      <c r="F858" t="s">
        <v>25</v>
      </c>
      <c r="G858" t="s">
        <v>26</v>
      </c>
      <c r="H858" t="s">
        <v>27</v>
      </c>
      <c r="I858">
        <v>9080</v>
      </c>
      <c r="J858">
        <v>2</v>
      </c>
      <c r="K858" t="s">
        <v>28</v>
      </c>
      <c r="L858">
        <v>1887.39</v>
      </c>
      <c r="M858" t="str">
        <f t="shared" si="26"/>
        <v>Feb</v>
      </c>
      <c r="N858">
        <f t="shared" si="27"/>
        <v>2025</v>
      </c>
    </row>
    <row r="859" spans="1:14" x14ac:dyDescent="0.3">
      <c r="A859" t="s">
        <v>1248</v>
      </c>
      <c r="B859" s="5">
        <v>45894</v>
      </c>
      <c r="C859" t="s">
        <v>14</v>
      </c>
      <c r="D859" t="s">
        <v>38</v>
      </c>
      <c r="E859" t="s">
        <v>67</v>
      </c>
      <c r="F859" t="s">
        <v>25</v>
      </c>
      <c r="G859" t="s">
        <v>57</v>
      </c>
      <c r="H859" t="s">
        <v>58</v>
      </c>
      <c r="I859">
        <v>16887</v>
      </c>
      <c r="J859">
        <v>2</v>
      </c>
      <c r="K859" t="s">
        <v>20</v>
      </c>
      <c r="L859">
        <v>2144.63</v>
      </c>
      <c r="M859" t="str">
        <f t="shared" si="26"/>
        <v>Aug</v>
      </c>
      <c r="N859">
        <f t="shared" si="27"/>
        <v>2025</v>
      </c>
    </row>
    <row r="860" spans="1:14" x14ac:dyDescent="0.3">
      <c r="A860" t="s">
        <v>1249</v>
      </c>
      <c r="B860" s="5">
        <v>45894</v>
      </c>
      <c r="C860" t="s">
        <v>63</v>
      </c>
      <c r="D860" t="s">
        <v>15</v>
      </c>
      <c r="E860" t="s">
        <v>73</v>
      </c>
      <c r="F860" t="s">
        <v>46</v>
      </c>
      <c r="G860" t="s">
        <v>47</v>
      </c>
      <c r="H860" t="s">
        <v>48</v>
      </c>
      <c r="I860">
        <v>48883</v>
      </c>
      <c r="J860">
        <v>3</v>
      </c>
      <c r="K860" t="s">
        <v>28</v>
      </c>
      <c r="L860">
        <v>10195.23</v>
      </c>
      <c r="M860" t="str">
        <f t="shared" si="26"/>
        <v>Aug</v>
      </c>
      <c r="N860">
        <f t="shared" si="27"/>
        <v>2025</v>
      </c>
    </row>
    <row r="861" spans="1:14" x14ac:dyDescent="0.3">
      <c r="A861" t="s">
        <v>1250</v>
      </c>
      <c r="B861" s="5">
        <v>45660</v>
      </c>
      <c r="C861" t="s">
        <v>63</v>
      </c>
      <c r="D861" t="s">
        <v>15</v>
      </c>
      <c r="E861" t="s">
        <v>154</v>
      </c>
      <c r="F861" t="s">
        <v>17</v>
      </c>
      <c r="G861" t="s">
        <v>18</v>
      </c>
      <c r="H861" t="s">
        <v>19</v>
      </c>
      <c r="I861">
        <v>69533</v>
      </c>
      <c r="J861">
        <v>10</v>
      </c>
      <c r="K861" t="s">
        <v>20</v>
      </c>
      <c r="L861">
        <v>17610.189999999999</v>
      </c>
      <c r="M861" t="str">
        <f t="shared" si="26"/>
        <v>Jan</v>
      </c>
      <c r="N861">
        <f t="shared" si="27"/>
        <v>2025</v>
      </c>
    </row>
    <row r="862" spans="1:14" x14ac:dyDescent="0.3">
      <c r="A862" t="s">
        <v>1251</v>
      </c>
      <c r="B862" s="5">
        <v>45879</v>
      </c>
      <c r="C862" t="s">
        <v>14</v>
      </c>
      <c r="D862" t="s">
        <v>32</v>
      </c>
      <c r="E862" t="s">
        <v>33</v>
      </c>
      <c r="F862" t="s">
        <v>25</v>
      </c>
      <c r="G862" t="s">
        <v>40</v>
      </c>
      <c r="H862" t="s">
        <v>41</v>
      </c>
      <c r="I862">
        <v>4511</v>
      </c>
      <c r="J862">
        <v>5</v>
      </c>
      <c r="K862" t="s">
        <v>34</v>
      </c>
      <c r="L862">
        <v>1007.52</v>
      </c>
      <c r="M862" t="str">
        <f t="shared" si="26"/>
        <v>Aug</v>
      </c>
      <c r="N862">
        <f t="shared" si="27"/>
        <v>2025</v>
      </c>
    </row>
    <row r="863" spans="1:14" x14ac:dyDescent="0.3">
      <c r="A863" t="s">
        <v>1252</v>
      </c>
      <c r="B863" s="5">
        <v>45814</v>
      </c>
      <c r="C863" t="s">
        <v>44</v>
      </c>
      <c r="D863" t="s">
        <v>32</v>
      </c>
      <c r="E863" t="s">
        <v>45</v>
      </c>
      <c r="F863" t="s">
        <v>25</v>
      </c>
      <c r="G863" t="s">
        <v>40</v>
      </c>
      <c r="H863" t="s">
        <v>41</v>
      </c>
      <c r="I863">
        <v>51766</v>
      </c>
      <c r="J863">
        <v>4</v>
      </c>
      <c r="K863" t="s">
        <v>49</v>
      </c>
      <c r="L863">
        <v>9621.1</v>
      </c>
      <c r="M863" t="str">
        <f t="shared" si="26"/>
        <v>Jun</v>
      </c>
      <c r="N863">
        <f t="shared" si="27"/>
        <v>2025</v>
      </c>
    </row>
    <row r="864" spans="1:14" x14ac:dyDescent="0.3">
      <c r="A864" t="s">
        <v>1253</v>
      </c>
      <c r="B864" s="5">
        <v>45814</v>
      </c>
      <c r="C864" t="s">
        <v>14</v>
      </c>
      <c r="D864" t="s">
        <v>15</v>
      </c>
      <c r="E864" t="s">
        <v>154</v>
      </c>
      <c r="F864" t="s">
        <v>25</v>
      </c>
      <c r="G864" t="s">
        <v>40</v>
      </c>
      <c r="H864" t="s">
        <v>41</v>
      </c>
      <c r="I864">
        <v>19178</v>
      </c>
      <c r="J864">
        <v>8</v>
      </c>
      <c r="K864" t="s">
        <v>34</v>
      </c>
      <c r="L864">
        <v>1645.29</v>
      </c>
      <c r="M864" t="str">
        <f t="shared" si="26"/>
        <v>Jun</v>
      </c>
      <c r="N864">
        <f t="shared" si="27"/>
        <v>2025</v>
      </c>
    </row>
    <row r="865" spans="1:14" x14ac:dyDescent="0.3">
      <c r="A865" t="s">
        <v>1254</v>
      </c>
      <c r="B865" s="5">
        <v>45776</v>
      </c>
      <c r="C865" t="s">
        <v>37</v>
      </c>
      <c r="D865" t="s">
        <v>38</v>
      </c>
      <c r="E865" t="s">
        <v>39</v>
      </c>
      <c r="F865" t="s">
        <v>25</v>
      </c>
      <c r="G865" t="s">
        <v>40</v>
      </c>
      <c r="H865" t="s">
        <v>41</v>
      </c>
      <c r="I865">
        <v>12061</v>
      </c>
      <c r="J865">
        <v>3</v>
      </c>
      <c r="K865" t="s">
        <v>49</v>
      </c>
      <c r="L865">
        <v>2153.12</v>
      </c>
      <c r="M865" t="str">
        <f t="shared" si="26"/>
        <v>Apr</v>
      </c>
      <c r="N865">
        <f t="shared" si="27"/>
        <v>2025</v>
      </c>
    </row>
    <row r="866" spans="1:14" x14ac:dyDescent="0.3">
      <c r="A866" t="s">
        <v>1256</v>
      </c>
      <c r="B866" s="5">
        <v>46017</v>
      </c>
      <c r="C866" t="s">
        <v>37</v>
      </c>
      <c r="D866" t="s">
        <v>32</v>
      </c>
      <c r="E866" t="s">
        <v>33</v>
      </c>
      <c r="F866" t="s">
        <v>46</v>
      </c>
      <c r="G866" t="s">
        <v>47</v>
      </c>
      <c r="H866" t="s">
        <v>48</v>
      </c>
      <c r="I866">
        <v>72912</v>
      </c>
      <c r="J866">
        <v>6</v>
      </c>
      <c r="K866" t="s">
        <v>34</v>
      </c>
      <c r="L866">
        <v>11238.86</v>
      </c>
      <c r="M866" t="str">
        <f t="shared" si="26"/>
        <v>Dec</v>
      </c>
      <c r="N866">
        <f t="shared" si="27"/>
        <v>2025</v>
      </c>
    </row>
    <row r="867" spans="1:14" x14ac:dyDescent="0.3">
      <c r="A867" t="s">
        <v>1257</v>
      </c>
      <c r="B867" s="5">
        <v>45768</v>
      </c>
      <c r="C867" t="s">
        <v>66</v>
      </c>
      <c r="D867" t="s">
        <v>38</v>
      </c>
      <c r="E867" t="s">
        <v>52</v>
      </c>
      <c r="F867" t="s">
        <v>25</v>
      </c>
      <c r="G867" t="s">
        <v>40</v>
      </c>
      <c r="H867" t="s">
        <v>41</v>
      </c>
      <c r="I867">
        <v>58919</v>
      </c>
      <c r="J867">
        <v>2</v>
      </c>
      <c r="K867" t="s">
        <v>49</v>
      </c>
      <c r="L867">
        <v>8094.6</v>
      </c>
      <c r="M867" t="str">
        <f t="shared" si="26"/>
        <v>Apr</v>
      </c>
      <c r="N867">
        <f t="shared" si="27"/>
        <v>2025</v>
      </c>
    </row>
    <row r="868" spans="1:14" x14ac:dyDescent="0.3">
      <c r="A868" t="s">
        <v>1258</v>
      </c>
      <c r="B868" s="5">
        <v>45880</v>
      </c>
      <c r="C868" t="s">
        <v>56</v>
      </c>
      <c r="D868" t="s">
        <v>23</v>
      </c>
      <c r="E868" t="s">
        <v>82</v>
      </c>
      <c r="F868" t="s">
        <v>17</v>
      </c>
      <c r="G868" t="s">
        <v>104</v>
      </c>
      <c r="H868" t="s">
        <v>105</v>
      </c>
      <c r="I868">
        <v>22976</v>
      </c>
      <c r="J868">
        <v>8</v>
      </c>
      <c r="K868" t="s">
        <v>53</v>
      </c>
      <c r="L868">
        <v>2208.64</v>
      </c>
      <c r="M868" t="str">
        <f t="shared" si="26"/>
        <v>Aug</v>
      </c>
      <c r="N868">
        <f t="shared" si="27"/>
        <v>2025</v>
      </c>
    </row>
    <row r="869" spans="1:14" x14ac:dyDescent="0.3">
      <c r="A869" t="s">
        <v>1259</v>
      </c>
      <c r="B869" s="5">
        <v>45689</v>
      </c>
      <c r="C869" t="s">
        <v>14</v>
      </c>
      <c r="D869" t="s">
        <v>38</v>
      </c>
      <c r="E869" t="s">
        <v>67</v>
      </c>
      <c r="F869" t="s">
        <v>17</v>
      </c>
      <c r="G869" t="s">
        <v>18</v>
      </c>
      <c r="H869" t="s">
        <v>19</v>
      </c>
      <c r="I869">
        <v>77916</v>
      </c>
      <c r="J869">
        <v>3</v>
      </c>
      <c r="K869" t="s">
        <v>49</v>
      </c>
      <c r="L869">
        <v>20944.57</v>
      </c>
      <c r="M869" t="str">
        <f t="shared" si="26"/>
        <v>Feb</v>
      </c>
      <c r="N869">
        <f t="shared" si="27"/>
        <v>2025</v>
      </c>
    </row>
    <row r="870" spans="1:14" x14ac:dyDescent="0.3">
      <c r="A870" t="s">
        <v>1260</v>
      </c>
      <c r="B870" s="5">
        <v>45909</v>
      </c>
      <c r="C870" t="s">
        <v>121</v>
      </c>
      <c r="D870" t="s">
        <v>38</v>
      </c>
      <c r="E870" t="s">
        <v>52</v>
      </c>
      <c r="F870" t="s">
        <v>17</v>
      </c>
      <c r="G870" t="s">
        <v>76</v>
      </c>
      <c r="H870" t="s">
        <v>77</v>
      </c>
      <c r="I870">
        <v>55345</v>
      </c>
      <c r="J870">
        <v>4</v>
      </c>
      <c r="K870" t="s">
        <v>53</v>
      </c>
      <c r="L870">
        <v>7480.9</v>
      </c>
      <c r="M870" t="str">
        <f t="shared" si="26"/>
        <v>Sep</v>
      </c>
      <c r="N870">
        <f t="shared" si="27"/>
        <v>2025</v>
      </c>
    </row>
    <row r="871" spans="1:14" x14ac:dyDescent="0.3">
      <c r="A871" t="s">
        <v>1261</v>
      </c>
      <c r="B871" s="5">
        <v>45829</v>
      </c>
      <c r="C871" t="s">
        <v>37</v>
      </c>
      <c r="D871" t="s">
        <v>32</v>
      </c>
      <c r="E871" t="s">
        <v>45</v>
      </c>
      <c r="F871" t="s">
        <v>17</v>
      </c>
      <c r="G871" t="s">
        <v>76</v>
      </c>
      <c r="H871" t="s">
        <v>77</v>
      </c>
      <c r="I871">
        <v>15636</v>
      </c>
      <c r="J871">
        <v>9</v>
      </c>
      <c r="K871" t="s">
        <v>34</v>
      </c>
      <c r="L871">
        <v>1887.87</v>
      </c>
      <c r="M871" t="str">
        <f t="shared" si="26"/>
        <v>Jun</v>
      </c>
      <c r="N871">
        <f t="shared" si="27"/>
        <v>2025</v>
      </c>
    </row>
    <row r="872" spans="1:14" x14ac:dyDescent="0.3">
      <c r="A872" t="s">
        <v>1262</v>
      </c>
      <c r="B872" s="5">
        <v>45723</v>
      </c>
      <c r="C872" t="s">
        <v>37</v>
      </c>
      <c r="D872" t="s">
        <v>15</v>
      </c>
      <c r="E872" t="s">
        <v>16</v>
      </c>
      <c r="F872" t="s">
        <v>25</v>
      </c>
      <c r="G872" t="s">
        <v>57</v>
      </c>
      <c r="H872" t="s">
        <v>58</v>
      </c>
      <c r="I872">
        <v>74570</v>
      </c>
      <c r="J872">
        <v>10</v>
      </c>
      <c r="K872" t="s">
        <v>49</v>
      </c>
      <c r="L872">
        <v>11133.39</v>
      </c>
      <c r="M872" t="str">
        <f t="shared" si="26"/>
        <v>Mar</v>
      </c>
      <c r="N872">
        <f t="shared" si="27"/>
        <v>2025</v>
      </c>
    </row>
    <row r="873" spans="1:14" x14ac:dyDescent="0.3">
      <c r="A873" t="s">
        <v>1263</v>
      </c>
      <c r="B873" s="5">
        <v>45685</v>
      </c>
      <c r="C873" t="s">
        <v>14</v>
      </c>
      <c r="D873" t="s">
        <v>15</v>
      </c>
      <c r="E873" t="s">
        <v>154</v>
      </c>
      <c r="F873" t="s">
        <v>17</v>
      </c>
      <c r="G873" t="s">
        <v>18</v>
      </c>
      <c r="H873" t="s">
        <v>19</v>
      </c>
      <c r="I873">
        <v>32445</v>
      </c>
      <c r="J873">
        <v>4</v>
      </c>
      <c r="K873" t="s">
        <v>28</v>
      </c>
      <c r="L873">
        <v>5126.8100000000004</v>
      </c>
      <c r="M873" t="str">
        <f t="shared" si="26"/>
        <v>Jan</v>
      </c>
      <c r="N873">
        <f t="shared" si="27"/>
        <v>2025</v>
      </c>
    </row>
    <row r="874" spans="1:14" x14ac:dyDescent="0.3">
      <c r="A874" t="s">
        <v>1264</v>
      </c>
      <c r="B874" s="5">
        <v>45734</v>
      </c>
      <c r="C874" t="s">
        <v>91</v>
      </c>
      <c r="D874" t="s">
        <v>32</v>
      </c>
      <c r="E874" t="s">
        <v>45</v>
      </c>
      <c r="F874" t="s">
        <v>46</v>
      </c>
      <c r="G874" t="s">
        <v>94</v>
      </c>
      <c r="H874" t="s">
        <v>95</v>
      </c>
      <c r="I874">
        <v>18611</v>
      </c>
      <c r="J874">
        <v>9</v>
      </c>
      <c r="K874" t="s">
        <v>34</v>
      </c>
      <c r="L874">
        <v>4458.42</v>
      </c>
      <c r="M874" t="str">
        <f t="shared" si="26"/>
        <v>Mar</v>
      </c>
      <c r="N874">
        <f t="shared" si="27"/>
        <v>2025</v>
      </c>
    </row>
    <row r="875" spans="1:14" x14ac:dyDescent="0.3">
      <c r="A875" t="s">
        <v>1265</v>
      </c>
      <c r="B875" s="5">
        <v>45926</v>
      </c>
      <c r="C875" t="s">
        <v>63</v>
      </c>
      <c r="D875" t="s">
        <v>32</v>
      </c>
      <c r="E875" t="s">
        <v>116</v>
      </c>
      <c r="F875" t="s">
        <v>46</v>
      </c>
      <c r="G875" t="s">
        <v>47</v>
      </c>
      <c r="H875" t="s">
        <v>48</v>
      </c>
      <c r="I875">
        <v>25613</v>
      </c>
      <c r="J875">
        <v>4</v>
      </c>
      <c r="K875" t="s">
        <v>34</v>
      </c>
      <c r="L875">
        <v>3640.71</v>
      </c>
      <c r="M875" t="str">
        <f t="shared" si="26"/>
        <v>Sep</v>
      </c>
      <c r="N875">
        <f t="shared" si="27"/>
        <v>2025</v>
      </c>
    </row>
    <row r="876" spans="1:14" x14ac:dyDescent="0.3">
      <c r="A876" t="s">
        <v>1266</v>
      </c>
      <c r="B876" s="5">
        <v>45702</v>
      </c>
      <c r="C876" t="s">
        <v>72</v>
      </c>
      <c r="D876" t="s">
        <v>32</v>
      </c>
      <c r="E876" t="s">
        <v>45</v>
      </c>
      <c r="F876" t="s">
        <v>17</v>
      </c>
      <c r="G876" t="s">
        <v>104</v>
      </c>
      <c r="H876" t="s">
        <v>105</v>
      </c>
      <c r="I876">
        <v>79855</v>
      </c>
      <c r="J876">
        <v>3</v>
      </c>
      <c r="K876" t="s">
        <v>49</v>
      </c>
      <c r="L876">
        <v>21181.25</v>
      </c>
      <c r="M876" t="str">
        <f t="shared" si="26"/>
        <v>Feb</v>
      </c>
      <c r="N876">
        <f t="shared" si="27"/>
        <v>2025</v>
      </c>
    </row>
    <row r="877" spans="1:14" x14ac:dyDescent="0.3">
      <c r="A877" t="s">
        <v>1267</v>
      </c>
      <c r="B877" s="5">
        <v>45715</v>
      </c>
      <c r="C877" t="s">
        <v>31</v>
      </c>
      <c r="D877" t="s">
        <v>15</v>
      </c>
      <c r="E877" t="s">
        <v>16</v>
      </c>
      <c r="F877" t="s">
        <v>46</v>
      </c>
      <c r="G877" t="s">
        <v>47</v>
      </c>
      <c r="H877" t="s">
        <v>48</v>
      </c>
      <c r="I877">
        <v>74196</v>
      </c>
      <c r="J877">
        <v>5</v>
      </c>
      <c r="K877" t="s">
        <v>49</v>
      </c>
      <c r="L877">
        <v>14777.66</v>
      </c>
      <c r="M877" t="str">
        <f t="shared" si="26"/>
        <v>Feb</v>
      </c>
      <c r="N877">
        <f t="shared" si="27"/>
        <v>2025</v>
      </c>
    </row>
    <row r="878" spans="1:14" x14ac:dyDescent="0.3">
      <c r="A878" t="s">
        <v>1268</v>
      </c>
      <c r="B878" s="5">
        <v>45956</v>
      </c>
      <c r="C878" t="s">
        <v>37</v>
      </c>
      <c r="D878" t="s">
        <v>32</v>
      </c>
      <c r="E878" t="s">
        <v>45</v>
      </c>
      <c r="F878" t="s">
        <v>25</v>
      </c>
      <c r="G878" t="s">
        <v>40</v>
      </c>
      <c r="H878" t="s">
        <v>41</v>
      </c>
      <c r="I878">
        <v>16672</v>
      </c>
      <c r="J878">
        <v>9</v>
      </c>
      <c r="K878" t="s">
        <v>34</v>
      </c>
      <c r="L878">
        <v>1700.19</v>
      </c>
      <c r="M878" t="str">
        <f t="shared" si="26"/>
        <v>Oct</v>
      </c>
      <c r="N878">
        <f t="shared" si="27"/>
        <v>2025</v>
      </c>
    </row>
    <row r="879" spans="1:14" x14ac:dyDescent="0.3">
      <c r="A879" t="s">
        <v>1269</v>
      </c>
      <c r="B879" s="5">
        <v>45798</v>
      </c>
      <c r="C879" t="s">
        <v>121</v>
      </c>
      <c r="D879" t="s">
        <v>32</v>
      </c>
      <c r="E879" t="s">
        <v>45</v>
      </c>
      <c r="F879" t="s">
        <v>17</v>
      </c>
      <c r="G879" t="s">
        <v>104</v>
      </c>
      <c r="H879" t="s">
        <v>105</v>
      </c>
      <c r="I879">
        <v>12949</v>
      </c>
      <c r="J879">
        <v>10</v>
      </c>
      <c r="K879" t="s">
        <v>49</v>
      </c>
      <c r="L879">
        <v>1207.49</v>
      </c>
      <c r="M879" t="str">
        <f t="shared" si="26"/>
        <v>May</v>
      </c>
      <c r="N879">
        <f t="shared" si="27"/>
        <v>2025</v>
      </c>
    </row>
    <row r="880" spans="1:14" x14ac:dyDescent="0.3">
      <c r="A880" t="s">
        <v>1270</v>
      </c>
      <c r="B880" s="5">
        <v>45857</v>
      </c>
      <c r="C880" t="s">
        <v>72</v>
      </c>
      <c r="D880" t="s">
        <v>32</v>
      </c>
      <c r="E880" t="s">
        <v>45</v>
      </c>
      <c r="F880" t="s">
        <v>17</v>
      </c>
      <c r="G880" t="s">
        <v>104</v>
      </c>
      <c r="H880" t="s">
        <v>105</v>
      </c>
      <c r="I880">
        <v>65412</v>
      </c>
      <c r="J880">
        <v>9</v>
      </c>
      <c r="K880" t="s">
        <v>28</v>
      </c>
      <c r="L880">
        <v>7960.12</v>
      </c>
      <c r="M880" t="str">
        <f t="shared" si="26"/>
        <v>Jul</v>
      </c>
      <c r="N880">
        <f t="shared" si="27"/>
        <v>2025</v>
      </c>
    </row>
    <row r="881" spans="1:14" x14ac:dyDescent="0.3">
      <c r="A881" t="s">
        <v>1271</v>
      </c>
      <c r="B881" s="5">
        <v>45699</v>
      </c>
      <c r="C881" t="s">
        <v>121</v>
      </c>
      <c r="D881" t="s">
        <v>15</v>
      </c>
      <c r="E881" t="s">
        <v>154</v>
      </c>
      <c r="F881" t="s">
        <v>25</v>
      </c>
      <c r="G881" t="s">
        <v>57</v>
      </c>
      <c r="H881" t="s">
        <v>58</v>
      </c>
      <c r="I881">
        <v>29727</v>
      </c>
      <c r="J881">
        <v>1</v>
      </c>
      <c r="K881" t="s">
        <v>28</v>
      </c>
      <c r="L881">
        <v>3132.85</v>
      </c>
      <c r="M881" t="str">
        <f t="shared" si="26"/>
        <v>Feb</v>
      </c>
      <c r="N881">
        <f t="shared" si="27"/>
        <v>2025</v>
      </c>
    </row>
    <row r="882" spans="1:14" x14ac:dyDescent="0.3">
      <c r="A882" t="s">
        <v>1272</v>
      </c>
      <c r="B882" s="5">
        <v>45676</v>
      </c>
      <c r="C882" t="s">
        <v>63</v>
      </c>
      <c r="D882" t="s">
        <v>38</v>
      </c>
      <c r="E882" t="s">
        <v>67</v>
      </c>
      <c r="F882" t="s">
        <v>46</v>
      </c>
      <c r="G882" t="s">
        <v>47</v>
      </c>
      <c r="H882" t="s">
        <v>48</v>
      </c>
      <c r="I882">
        <v>49123</v>
      </c>
      <c r="J882">
        <v>7</v>
      </c>
      <c r="K882" t="s">
        <v>34</v>
      </c>
      <c r="L882">
        <v>5468.48</v>
      </c>
      <c r="M882" t="str">
        <f t="shared" si="26"/>
        <v>Jan</v>
      </c>
      <c r="N882">
        <f t="shared" si="27"/>
        <v>2025</v>
      </c>
    </row>
    <row r="883" spans="1:14" x14ac:dyDescent="0.3">
      <c r="A883" t="s">
        <v>1273</v>
      </c>
      <c r="B883" s="5">
        <v>45876</v>
      </c>
      <c r="C883" t="s">
        <v>91</v>
      </c>
      <c r="D883" t="s">
        <v>15</v>
      </c>
      <c r="E883" t="s">
        <v>73</v>
      </c>
      <c r="F883" t="s">
        <v>25</v>
      </c>
      <c r="G883" t="s">
        <v>40</v>
      </c>
      <c r="H883" t="s">
        <v>41</v>
      </c>
      <c r="I883">
        <v>28544</v>
      </c>
      <c r="J883">
        <v>3</v>
      </c>
      <c r="K883" t="s">
        <v>20</v>
      </c>
      <c r="L883">
        <v>6002.93</v>
      </c>
      <c r="M883" t="str">
        <f t="shared" si="26"/>
        <v>Aug</v>
      </c>
      <c r="N883">
        <f t="shared" si="27"/>
        <v>2025</v>
      </c>
    </row>
    <row r="884" spans="1:14" x14ac:dyDescent="0.3">
      <c r="A884" t="s">
        <v>1274</v>
      </c>
      <c r="B884" s="5">
        <v>45659</v>
      </c>
      <c r="C884" t="s">
        <v>63</v>
      </c>
      <c r="D884" t="s">
        <v>15</v>
      </c>
      <c r="E884" t="s">
        <v>16</v>
      </c>
      <c r="F884" t="s">
        <v>46</v>
      </c>
      <c r="G884" t="s">
        <v>47</v>
      </c>
      <c r="H884" t="s">
        <v>48</v>
      </c>
      <c r="I884">
        <v>66832</v>
      </c>
      <c r="J884">
        <v>7</v>
      </c>
      <c r="K884" t="s">
        <v>53</v>
      </c>
      <c r="L884">
        <v>12892.74</v>
      </c>
      <c r="M884" t="str">
        <f t="shared" si="26"/>
        <v>Jan</v>
      </c>
      <c r="N884">
        <f t="shared" si="27"/>
        <v>2025</v>
      </c>
    </row>
    <row r="885" spans="1:14" x14ac:dyDescent="0.3">
      <c r="A885" t="s">
        <v>1275</v>
      </c>
      <c r="B885" s="5">
        <v>45948</v>
      </c>
      <c r="C885" t="s">
        <v>14</v>
      </c>
      <c r="D885" t="s">
        <v>15</v>
      </c>
      <c r="E885" t="s">
        <v>73</v>
      </c>
      <c r="F885" t="s">
        <v>46</v>
      </c>
      <c r="G885" t="s">
        <v>47</v>
      </c>
      <c r="H885" t="s">
        <v>48</v>
      </c>
      <c r="I885">
        <v>36214</v>
      </c>
      <c r="J885">
        <v>6</v>
      </c>
      <c r="K885" t="s">
        <v>20</v>
      </c>
      <c r="L885">
        <v>5924.71</v>
      </c>
      <c r="M885" t="str">
        <f t="shared" si="26"/>
        <v>Oct</v>
      </c>
      <c r="N885">
        <f t="shared" si="27"/>
        <v>2025</v>
      </c>
    </row>
    <row r="886" spans="1:14" x14ac:dyDescent="0.3">
      <c r="A886" t="s">
        <v>1276</v>
      </c>
      <c r="B886" s="5">
        <v>45676</v>
      </c>
      <c r="C886" t="s">
        <v>14</v>
      </c>
      <c r="D886" t="s">
        <v>15</v>
      </c>
      <c r="E886" t="s">
        <v>16</v>
      </c>
      <c r="F886" t="s">
        <v>25</v>
      </c>
      <c r="G886" t="s">
        <v>26</v>
      </c>
      <c r="H886" t="s">
        <v>27</v>
      </c>
      <c r="I886">
        <v>55685</v>
      </c>
      <c r="J886">
        <v>7</v>
      </c>
      <c r="K886" t="s">
        <v>20</v>
      </c>
      <c r="L886">
        <v>11371.2</v>
      </c>
      <c r="M886" t="str">
        <f t="shared" si="26"/>
        <v>Jan</v>
      </c>
      <c r="N886">
        <f t="shared" si="27"/>
        <v>2025</v>
      </c>
    </row>
    <row r="887" spans="1:14" x14ac:dyDescent="0.3">
      <c r="A887" t="s">
        <v>1277</v>
      </c>
      <c r="B887" s="5">
        <v>45887</v>
      </c>
      <c r="C887" t="s">
        <v>72</v>
      </c>
      <c r="D887" t="s">
        <v>32</v>
      </c>
      <c r="E887" t="s">
        <v>33</v>
      </c>
      <c r="F887" t="s">
        <v>17</v>
      </c>
      <c r="G887" t="s">
        <v>104</v>
      </c>
      <c r="H887" t="s">
        <v>105</v>
      </c>
      <c r="I887">
        <v>71172</v>
      </c>
      <c r="J887">
        <v>4</v>
      </c>
      <c r="K887" t="s">
        <v>49</v>
      </c>
      <c r="L887">
        <v>5859.75</v>
      </c>
      <c r="M887" t="str">
        <f t="shared" si="26"/>
        <v>Aug</v>
      </c>
      <c r="N887">
        <f t="shared" si="27"/>
        <v>2025</v>
      </c>
    </row>
    <row r="888" spans="1:14" x14ac:dyDescent="0.3">
      <c r="A888" t="s">
        <v>1278</v>
      </c>
      <c r="B888" s="5">
        <v>45887</v>
      </c>
      <c r="C888" t="s">
        <v>66</v>
      </c>
      <c r="D888" t="s">
        <v>23</v>
      </c>
      <c r="E888" t="s">
        <v>24</v>
      </c>
      <c r="F888" t="s">
        <v>46</v>
      </c>
      <c r="G888" t="s">
        <v>94</v>
      </c>
      <c r="H888" t="s">
        <v>95</v>
      </c>
      <c r="I888">
        <v>45752</v>
      </c>
      <c r="J888">
        <v>4</v>
      </c>
      <c r="K888" t="s">
        <v>34</v>
      </c>
      <c r="L888">
        <v>8450.98</v>
      </c>
      <c r="M888" t="str">
        <f t="shared" si="26"/>
        <v>Aug</v>
      </c>
      <c r="N888">
        <f t="shared" si="27"/>
        <v>2025</v>
      </c>
    </row>
    <row r="889" spans="1:14" x14ac:dyDescent="0.3">
      <c r="A889" t="s">
        <v>1279</v>
      </c>
      <c r="B889" s="5">
        <v>45807</v>
      </c>
      <c r="C889" t="s">
        <v>56</v>
      </c>
      <c r="D889" t="s">
        <v>15</v>
      </c>
      <c r="E889" t="s">
        <v>154</v>
      </c>
      <c r="F889" t="s">
        <v>25</v>
      </c>
      <c r="G889" t="s">
        <v>40</v>
      </c>
      <c r="H889" t="s">
        <v>41</v>
      </c>
      <c r="I889">
        <v>17857</v>
      </c>
      <c r="J889">
        <v>4</v>
      </c>
      <c r="K889" t="s">
        <v>53</v>
      </c>
      <c r="L889">
        <v>3240.93</v>
      </c>
      <c r="M889" t="str">
        <f t="shared" si="26"/>
        <v>May</v>
      </c>
      <c r="N889">
        <f t="shared" si="27"/>
        <v>2025</v>
      </c>
    </row>
    <row r="890" spans="1:14" x14ac:dyDescent="0.3">
      <c r="A890" t="s">
        <v>1280</v>
      </c>
      <c r="B890" s="5">
        <v>45780</v>
      </c>
      <c r="C890" t="s">
        <v>14</v>
      </c>
      <c r="D890" t="s">
        <v>32</v>
      </c>
      <c r="E890" t="s">
        <v>33</v>
      </c>
      <c r="F890" t="s">
        <v>25</v>
      </c>
      <c r="G890" t="s">
        <v>26</v>
      </c>
      <c r="H890" t="s">
        <v>27</v>
      </c>
      <c r="I890">
        <v>4498</v>
      </c>
      <c r="J890">
        <v>2</v>
      </c>
      <c r="K890" t="s">
        <v>20</v>
      </c>
      <c r="L890">
        <v>506.89</v>
      </c>
      <c r="M890" t="str">
        <f t="shared" si="26"/>
        <v>May</v>
      </c>
      <c r="N890">
        <f t="shared" si="27"/>
        <v>2025</v>
      </c>
    </row>
    <row r="891" spans="1:14" x14ac:dyDescent="0.3">
      <c r="A891" t="s">
        <v>1281</v>
      </c>
      <c r="B891" s="5">
        <v>46002</v>
      </c>
      <c r="C891" t="s">
        <v>31</v>
      </c>
      <c r="D891" t="s">
        <v>23</v>
      </c>
      <c r="E891" t="s">
        <v>24</v>
      </c>
      <c r="F891" t="s">
        <v>17</v>
      </c>
      <c r="G891" t="s">
        <v>104</v>
      </c>
      <c r="H891" t="s">
        <v>105</v>
      </c>
      <c r="I891">
        <v>52124</v>
      </c>
      <c r="J891">
        <v>2</v>
      </c>
      <c r="K891" t="s">
        <v>28</v>
      </c>
      <c r="L891">
        <v>6033.99</v>
      </c>
      <c r="M891" t="str">
        <f t="shared" si="26"/>
        <v>Dec</v>
      </c>
      <c r="N891">
        <f t="shared" si="27"/>
        <v>2025</v>
      </c>
    </row>
    <row r="892" spans="1:14" x14ac:dyDescent="0.3">
      <c r="A892" t="s">
        <v>1282</v>
      </c>
      <c r="B892" s="5">
        <v>45733</v>
      </c>
      <c r="C892" t="s">
        <v>37</v>
      </c>
      <c r="D892" t="s">
        <v>38</v>
      </c>
      <c r="E892" t="s">
        <v>67</v>
      </c>
      <c r="F892" t="s">
        <v>46</v>
      </c>
      <c r="G892" t="s">
        <v>47</v>
      </c>
      <c r="H892" t="s">
        <v>48</v>
      </c>
      <c r="I892">
        <v>42501</v>
      </c>
      <c r="J892">
        <v>9</v>
      </c>
      <c r="K892" t="s">
        <v>20</v>
      </c>
      <c r="L892">
        <v>6804.85</v>
      </c>
      <c r="M892" t="str">
        <f t="shared" si="26"/>
        <v>Mar</v>
      </c>
      <c r="N892">
        <f t="shared" si="27"/>
        <v>2025</v>
      </c>
    </row>
    <row r="893" spans="1:14" x14ac:dyDescent="0.3">
      <c r="A893" t="s">
        <v>1283</v>
      </c>
      <c r="B893" s="5">
        <v>45982</v>
      </c>
      <c r="C893" t="s">
        <v>66</v>
      </c>
      <c r="D893" t="s">
        <v>32</v>
      </c>
      <c r="E893" t="s">
        <v>116</v>
      </c>
      <c r="F893" t="s">
        <v>25</v>
      </c>
      <c r="G893" t="s">
        <v>57</v>
      </c>
      <c r="H893" t="s">
        <v>58</v>
      </c>
      <c r="I893">
        <v>40176</v>
      </c>
      <c r="J893">
        <v>4</v>
      </c>
      <c r="K893" t="s">
        <v>28</v>
      </c>
      <c r="L893">
        <v>5344.57</v>
      </c>
      <c r="M893" t="str">
        <f t="shared" si="26"/>
        <v>Nov</v>
      </c>
      <c r="N893">
        <f t="shared" si="27"/>
        <v>2025</v>
      </c>
    </row>
    <row r="894" spans="1:14" x14ac:dyDescent="0.3">
      <c r="A894" t="s">
        <v>1284</v>
      </c>
      <c r="B894" s="5">
        <v>45675</v>
      </c>
      <c r="C894" t="s">
        <v>14</v>
      </c>
      <c r="D894" t="s">
        <v>38</v>
      </c>
      <c r="E894" t="s">
        <v>52</v>
      </c>
      <c r="F894" t="s">
        <v>17</v>
      </c>
      <c r="G894" t="s">
        <v>76</v>
      </c>
      <c r="H894" t="s">
        <v>77</v>
      </c>
      <c r="I894">
        <v>39222</v>
      </c>
      <c r="J894">
        <v>7</v>
      </c>
      <c r="K894" t="s">
        <v>28</v>
      </c>
      <c r="L894">
        <v>5240.71</v>
      </c>
      <c r="M894" t="str">
        <f t="shared" si="26"/>
        <v>Jan</v>
      </c>
      <c r="N894">
        <f t="shared" si="27"/>
        <v>2025</v>
      </c>
    </row>
    <row r="895" spans="1:14" x14ac:dyDescent="0.3">
      <c r="A895" t="s">
        <v>1285</v>
      </c>
      <c r="B895" s="5">
        <v>45742</v>
      </c>
      <c r="C895" t="s">
        <v>37</v>
      </c>
      <c r="D895" t="s">
        <v>15</v>
      </c>
      <c r="E895" t="s">
        <v>73</v>
      </c>
      <c r="F895" t="s">
        <v>25</v>
      </c>
      <c r="G895" t="s">
        <v>40</v>
      </c>
      <c r="H895" t="s">
        <v>41</v>
      </c>
      <c r="I895">
        <v>47562</v>
      </c>
      <c r="J895">
        <v>4</v>
      </c>
      <c r="K895" t="s">
        <v>49</v>
      </c>
      <c r="L895">
        <v>9282.26</v>
      </c>
      <c r="M895" t="str">
        <f t="shared" si="26"/>
        <v>Mar</v>
      </c>
      <c r="N895">
        <f t="shared" si="27"/>
        <v>2025</v>
      </c>
    </row>
    <row r="896" spans="1:14" x14ac:dyDescent="0.3">
      <c r="A896" t="s">
        <v>1286</v>
      </c>
      <c r="B896" s="5">
        <v>45714</v>
      </c>
      <c r="C896" t="s">
        <v>31</v>
      </c>
      <c r="D896" t="s">
        <v>23</v>
      </c>
      <c r="E896" t="s">
        <v>24</v>
      </c>
      <c r="F896" t="s">
        <v>17</v>
      </c>
      <c r="G896" t="s">
        <v>104</v>
      </c>
      <c r="H896" t="s">
        <v>105</v>
      </c>
      <c r="I896">
        <v>60577</v>
      </c>
      <c r="J896">
        <v>3</v>
      </c>
      <c r="K896" t="s">
        <v>34</v>
      </c>
      <c r="L896">
        <v>10041.36</v>
      </c>
      <c r="M896" t="str">
        <f t="shared" si="26"/>
        <v>Feb</v>
      </c>
      <c r="N896">
        <f t="shared" si="27"/>
        <v>2025</v>
      </c>
    </row>
    <row r="897" spans="1:14" x14ac:dyDescent="0.3">
      <c r="A897" t="s">
        <v>1287</v>
      </c>
      <c r="B897" s="5">
        <v>45932</v>
      </c>
      <c r="C897" t="s">
        <v>14</v>
      </c>
      <c r="D897" t="s">
        <v>32</v>
      </c>
      <c r="E897" t="s">
        <v>116</v>
      </c>
      <c r="F897" t="s">
        <v>46</v>
      </c>
      <c r="G897" t="s">
        <v>87</v>
      </c>
      <c r="H897" t="s">
        <v>88</v>
      </c>
      <c r="I897">
        <v>74100</v>
      </c>
      <c r="J897">
        <v>8</v>
      </c>
      <c r="K897" t="s">
        <v>34</v>
      </c>
      <c r="L897">
        <v>18478.14</v>
      </c>
      <c r="M897" t="str">
        <f t="shared" si="26"/>
        <v>Oct</v>
      </c>
      <c r="N897">
        <f t="shared" si="27"/>
        <v>2025</v>
      </c>
    </row>
    <row r="898" spans="1:14" x14ac:dyDescent="0.3">
      <c r="A898" t="s">
        <v>1289</v>
      </c>
      <c r="B898" s="5">
        <v>45941</v>
      </c>
      <c r="C898" t="s">
        <v>91</v>
      </c>
      <c r="D898" t="s">
        <v>23</v>
      </c>
      <c r="E898" t="s">
        <v>24</v>
      </c>
      <c r="F898" t="s">
        <v>46</v>
      </c>
      <c r="G898" t="s">
        <v>94</v>
      </c>
      <c r="H898" t="s">
        <v>95</v>
      </c>
      <c r="I898">
        <v>14901</v>
      </c>
      <c r="J898">
        <v>2</v>
      </c>
      <c r="K898" t="s">
        <v>49</v>
      </c>
      <c r="L898">
        <v>3467.67</v>
      </c>
      <c r="M898" t="str">
        <f t="shared" si="26"/>
        <v>Oct</v>
      </c>
      <c r="N898">
        <f t="shared" si="27"/>
        <v>2025</v>
      </c>
    </row>
    <row r="899" spans="1:14" x14ac:dyDescent="0.3">
      <c r="A899" t="s">
        <v>1290</v>
      </c>
      <c r="B899" s="5">
        <v>45703</v>
      </c>
      <c r="C899" t="s">
        <v>44</v>
      </c>
      <c r="D899" t="s">
        <v>32</v>
      </c>
      <c r="E899" t="s">
        <v>33</v>
      </c>
      <c r="F899" t="s">
        <v>17</v>
      </c>
      <c r="G899" t="s">
        <v>76</v>
      </c>
      <c r="H899" t="s">
        <v>77</v>
      </c>
      <c r="I899">
        <v>22140</v>
      </c>
      <c r="J899">
        <v>1</v>
      </c>
      <c r="K899" t="s">
        <v>53</v>
      </c>
      <c r="L899">
        <v>4167.8</v>
      </c>
      <c r="M899" t="str">
        <f t="shared" ref="M899:M962" si="28">TEXT(B899,"mmm")</f>
        <v>Feb</v>
      </c>
      <c r="N899">
        <f t="shared" ref="N899:N962" si="29">YEAR(B899)</f>
        <v>2025</v>
      </c>
    </row>
    <row r="900" spans="1:14" x14ac:dyDescent="0.3">
      <c r="A900" t="s">
        <v>1291</v>
      </c>
      <c r="B900" s="5">
        <v>45953</v>
      </c>
      <c r="C900" t="s">
        <v>66</v>
      </c>
      <c r="D900" t="s">
        <v>32</v>
      </c>
      <c r="E900" t="s">
        <v>45</v>
      </c>
      <c r="F900" t="s">
        <v>25</v>
      </c>
      <c r="G900" t="s">
        <v>57</v>
      </c>
      <c r="H900" t="s">
        <v>58</v>
      </c>
      <c r="I900">
        <v>18018</v>
      </c>
      <c r="J900">
        <v>10</v>
      </c>
      <c r="K900" t="s">
        <v>53</v>
      </c>
      <c r="L900">
        <v>4612.3599999999997</v>
      </c>
      <c r="M900" t="str">
        <f t="shared" si="28"/>
        <v>Oct</v>
      </c>
      <c r="N900">
        <f t="shared" si="29"/>
        <v>2025</v>
      </c>
    </row>
    <row r="901" spans="1:14" x14ac:dyDescent="0.3">
      <c r="A901" t="s">
        <v>1292</v>
      </c>
      <c r="B901" s="5">
        <v>45952</v>
      </c>
      <c r="C901" t="s">
        <v>14</v>
      </c>
      <c r="D901" t="s">
        <v>15</v>
      </c>
      <c r="E901" t="s">
        <v>16</v>
      </c>
      <c r="F901" t="s">
        <v>17</v>
      </c>
      <c r="G901" t="s">
        <v>104</v>
      </c>
      <c r="H901" t="s">
        <v>105</v>
      </c>
      <c r="I901">
        <v>64212</v>
      </c>
      <c r="J901">
        <v>7</v>
      </c>
      <c r="K901" t="s">
        <v>34</v>
      </c>
      <c r="L901">
        <v>13588.44</v>
      </c>
      <c r="M901" t="str">
        <f t="shared" si="28"/>
        <v>Oct</v>
      </c>
      <c r="N901">
        <f t="shared" si="29"/>
        <v>2025</v>
      </c>
    </row>
    <row r="902" spans="1:14" x14ac:dyDescent="0.3">
      <c r="A902" t="s">
        <v>1293</v>
      </c>
      <c r="B902" s="5">
        <v>45891</v>
      </c>
      <c r="C902" t="s">
        <v>37</v>
      </c>
      <c r="D902" t="s">
        <v>15</v>
      </c>
      <c r="E902" t="s">
        <v>73</v>
      </c>
      <c r="F902" t="s">
        <v>46</v>
      </c>
      <c r="G902" t="s">
        <v>47</v>
      </c>
      <c r="H902" t="s">
        <v>48</v>
      </c>
      <c r="I902">
        <v>74577</v>
      </c>
      <c r="J902">
        <v>2</v>
      </c>
      <c r="K902" t="s">
        <v>20</v>
      </c>
      <c r="L902">
        <v>19065.3</v>
      </c>
      <c r="M902" t="str">
        <f t="shared" si="28"/>
        <v>Aug</v>
      </c>
      <c r="N902">
        <f t="shared" si="29"/>
        <v>2025</v>
      </c>
    </row>
    <row r="903" spans="1:14" x14ac:dyDescent="0.3">
      <c r="A903" t="s">
        <v>1294</v>
      </c>
      <c r="B903" s="5">
        <v>45789</v>
      </c>
      <c r="C903" t="s">
        <v>72</v>
      </c>
      <c r="D903" t="s">
        <v>15</v>
      </c>
      <c r="E903" t="s">
        <v>16</v>
      </c>
      <c r="F903" t="s">
        <v>17</v>
      </c>
      <c r="G903" t="s">
        <v>104</v>
      </c>
      <c r="H903" t="s">
        <v>105</v>
      </c>
      <c r="I903">
        <v>25607</v>
      </c>
      <c r="J903">
        <v>2</v>
      </c>
      <c r="K903" t="s">
        <v>53</v>
      </c>
      <c r="L903">
        <v>4060.74</v>
      </c>
      <c r="M903" t="str">
        <f t="shared" si="28"/>
        <v>May</v>
      </c>
      <c r="N903">
        <f t="shared" si="29"/>
        <v>2025</v>
      </c>
    </row>
    <row r="904" spans="1:14" x14ac:dyDescent="0.3">
      <c r="A904" t="s">
        <v>1295</v>
      </c>
      <c r="B904" s="5">
        <v>45741</v>
      </c>
      <c r="C904" t="s">
        <v>44</v>
      </c>
      <c r="D904" t="s">
        <v>38</v>
      </c>
      <c r="E904" t="s">
        <v>39</v>
      </c>
      <c r="F904" t="s">
        <v>17</v>
      </c>
      <c r="G904" t="s">
        <v>18</v>
      </c>
      <c r="H904" t="s">
        <v>19</v>
      </c>
      <c r="I904">
        <v>35361</v>
      </c>
      <c r="J904">
        <v>8</v>
      </c>
      <c r="K904" t="s">
        <v>34</v>
      </c>
      <c r="L904">
        <v>7878.16</v>
      </c>
      <c r="M904" t="str">
        <f t="shared" si="28"/>
        <v>Mar</v>
      </c>
      <c r="N904">
        <f t="shared" si="29"/>
        <v>2025</v>
      </c>
    </row>
    <row r="905" spans="1:14" x14ac:dyDescent="0.3">
      <c r="A905" t="s">
        <v>1297</v>
      </c>
      <c r="B905" s="5">
        <v>46017</v>
      </c>
      <c r="C905" t="s">
        <v>44</v>
      </c>
      <c r="D905" t="s">
        <v>23</v>
      </c>
      <c r="E905" t="s">
        <v>24</v>
      </c>
      <c r="F905" t="s">
        <v>17</v>
      </c>
      <c r="G905" t="s">
        <v>18</v>
      </c>
      <c r="H905" t="s">
        <v>19</v>
      </c>
      <c r="I905">
        <v>64989</v>
      </c>
      <c r="J905">
        <v>6</v>
      </c>
      <c r="K905" t="s">
        <v>28</v>
      </c>
      <c r="L905">
        <v>14188.67</v>
      </c>
      <c r="M905" t="str">
        <f t="shared" si="28"/>
        <v>Dec</v>
      </c>
      <c r="N905">
        <f t="shared" si="29"/>
        <v>2025</v>
      </c>
    </row>
    <row r="906" spans="1:14" x14ac:dyDescent="0.3">
      <c r="A906" t="s">
        <v>1298</v>
      </c>
      <c r="B906" s="5">
        <v>45865</v>
      </c>
      <c r="C906" t="s">
        <v>31</v>
      </c>
      <c r="D906" t="s">
        <v>15</v>
      </c>
      <c r="E906" t="s">
        <v>16</v>
      </c>
      <c r="F906" t="s">
        <v>25</v>
      </c>
      <c r="G906" t="s">
        <v>26</v>
      </c>
      <c r="H906" t="s">
        <v>27</v>
      </c>
      <c r="I906">
        <v>15525</v>
      </c>
      <c r="J906">
        <v>1</v>
      </c>
      <c r="K906" t="s">
        <v>28</v>
      </c>
      <c r="L906">
        <v>4035.03</v>
      </c>
      <c r="M906" t="str">
        <f t="shared" si="28"/>
        <v>Jul</v>
      </c>
      <c r="N906">
        <f t="shared" si="29"/>
        <v>2025</v>
      </c>
    </row>
    <row r="907" spans="1:14" x14ac:dyDescent="0.3">
      <c r="A907" t="s">
        <v>1299</v>
      </c>
      <c r="B907" s="5">
        <v>46021</v>
      </c>
      <c r="C907" t="s">
        <v>31</v>
      </c>
      <c r="D907" t="s">
        <v>15</v>
      </c>
      <c r="E907" t="s">
        <v>16</v>
      </c>
      <c r="F907" t="s">
        <v>25</v>
      </c>
      <c r="G907" t="s">
        <v>40</v>
      </c>
      <c r="H907" t="s">
        <v>41</v>
      </c>
      <c r="I907">
        <v>36530</v>
      </c>
      <c r="J907">
        <v>3</v>
      </c>
      <c r="K907" t="s">
        <v>28</v>
      </c>
      <c r="L907">
        <v>7548.82</v>
      </c>
      <c r="M907" t="str">
        <f t="shared" si="28"/>
        <v>Dec</v>
      </c>
      <c r="N907">
        <f t="shared" si="29"/>
        <v>2025</v>
      </c>
    </row>
    <row r="908" spans="1:14" x14ac:dyDescent="0.3">
      <c r="A908" t="s">
        <v>1300</v>
      </c>
      <c r="B908" s="5">
        <v>45844</v>
      </c>
      <c r="C908" t="s">
        <v>44</v>
      </c>
      <c r="D908" t="s">
        <v>23</v>
      </c>
      <c r="E908" t="s">
        <v>129</v>
      </c>
      <c r="F908" t="s">
        <v>46</v>
      </c>
      <c r="G908" t="s">
        <v>47</v>
      </c>
      <c r="H908" t="s">
        <v>48</v>
      </c>
      <c r="I908">
        <v>11177</v>
      </c>
      <c r="J908">
        <v>2</v>
      </c>
      <c r="K908" t="s">
        <v>49</v>
      </c>
      <c r="L908">
        <v>2912.49</v>
      </c>
      <c r="M908" t="str">
        <f t="shared" si="28"/>
        <v>Jul</v>
      </c>
      <c r="N908">
        <f t="shared" si="29"/>
        <v>2025</v>
      </c>
    </row>
    <row r="909" spans="1:14" x14ac:dyDescent="0.3">
      <c r="A909" t="s">
        <v>1301</v>
      </c>
      <c r="B909" s="5">
        <v>45954</v>
      </c>
      <c r="C909" t="s">
        <v>31</v>
      </c>
      <c r="D909" t="s">
        <v>38</v>
      </c>
      <c r="E909" t="s">
        <v>52</v>
      </c>
      <c r="F909" t="s">
        <v>25</v>
      </c>
      <c r="G909" t="s">
        <v>26</v>
      </c>
      <c r="H909" t="s">
        <v>27</v>
      </c>
      <c r="I909">
        <v>69077</v>
      </c>
      <c r="J909">
        <v>9</v>
      </c>
      <c r="K909" t="s">
        <v>20</v>
      </c>
      <c r="L909">
        <v>6618.56</v>
      </c>
      <c r="M909" t="str">
        <f t="shared" si="28"/>
        <v>Oct</v>
      </c>
      <c r="N909">
        <f t="shared" si="29"/>
        <v>2025</v>
      </c>
    </row>
    <row r="910" spans="1:14" x14ac:dyDescent="0.3">
      <c r="A910" t="s">
        <v>1302</v>
      </c>
      <c r="B910" s="5">
        <v>45722</v>
      </c>
      <c r="C910" t="s">
        <v>121</v>
      </c>
      <c r="D910" t="s">
        <v>23</v>
      </c>
      <c r="E910" t="s">
        <v>129</v>
      </c>
      <c r="F910" t="s">
        <v>46</v>
      </c>
      <c r="G910" t="s">
        <v>87</v>
      </c>
      <c r="H910" t="s">
        <v>88</v>
      </c>
      <c r="I910">
        <v>67492</v>
      </c>
      <c r="J910">
        <v>9</v>
      </c>
      <c r="K910" t="s">
        <v>53</v>
      </c>
      <c r="L910">
        <v>8726.86</v>
      </c>
      <c r="M910" t="str">
        <f t="shared" si="28"/>
        <v>Mar</v>
      </c>
      <c r="N910">
        <f t="shared" si="29"/>
        <v>2025</v>
      </c>
    </row>
    <row r="911" spans="1:14" x14ac:dyDescent="0.3">
      <c r="A911" t="s">
        <v>1303</v>
      </c>
      <c r="B911" s="5">
        <v>45732</v>
      </c>
      <c r="C911" t="s">
        <v>44</v>
      </c>
      <c r="D911" t="s">
        <v>38</v>
      </c>
      <c r="E911" t="s">
        <v>39</v>
      </c>
      <c r="F911" t="s">
        <v>25</v>
      </c>
      <c r="G911" t="s">
        <v>57</v>
      </c>
      <c r="H911" t="s">
        <v>58</v>
      </c>
      <c r="I911">
        <v>76153</v>
      </c>
      <c r="J911">
        <v>7</v>
      </c>
      <c r="K911" t="s">
        <v>34</v>
      </c>
      <c r="L911">
        <v>17949.5</v>
      </c>
      <c r="M911" t="str">
        <f t="shared" si="28"/>
        <v>Mar</v>
      </c>
      <c r="N911">
        <f t="shared" si="29"/>
        <v>2025</v>
      </c>
    </row>
    <row r="912" spans="1:14" x14ac:dyDescent="0.3">
      <c r="A912" t="s">
        <v>1304</v>
      </c>
      <c r="B912" s="5">
        <v>45864</v>
      </c>
      <c r="C912" t="s">
        <v>56</v>
      </c>
      <c r="D912" t="s">
        <v>23</v>
      </c>
      <c r="E912" t="s">
        <v>82</v>
      </c>
      <c r="F912" t="s">
        <v>25</v>
      </c>
      <c r="G912" t="s">
        <v>57</v>
      </c>
      <c r="H912" t="s">
        <v>58</v>
      </c>
      <c r="I912">
        <v>19741</v>
      </c>
      <c r="J912">
        <v>6</v>
      </c>
      <c r="K912" t="s">
        <v>28</v>
      </c>
      <c r="L912">
        <v>3079.91</v>
      </c>
      <c r="M912" t="str">
        <f t="shared" si="28"/>
        <v>Jul</v>
      </c>
      <c r="N912">
        <f t="shared" si="29"/>
        <v>2025</v>
      </c>
    </row>
    <row r="913" spans="1:14" x14ac:dyDescent="0.3">
      <c r="A913" t="s">
        <v>1305</v>
      </c>
      <c r="B913" s="5">
        <v>45949</v>
      </c>
      <c r="C913" t="s">
        <v>72</v>
      </c>
      <c r="D913" t="s">
        <v>32</v>
      </c>
      <c r="E913" t="s">
        <v>45</v>
      </c>
      <c r="F913" t="s">
        <v>25</v>
      </c>
      <c r="G913" t="s">
        <v>40</v>
      </c>
      <c r="H913" t="s">
        <v>41</v>
      </c>
      <c r="I913">
        <v>55042</v>
      </c>
      <c r="J913">
        <v>7</v>
      </c>
      <c r="K913" t="s">
        <v>34</v>
      </c>
      <c r="L913">
        <v>13965.33</v>
      </c>
      <c r="M913" t="str">
        <f t="shared" si="28"/>
        <v>Oct</v>
      </c>
      <c r="N913">
        <f t="shared" si="29"/>
        <v>2025</v>
      </c>
    </row>
    <row r="914" spans="1:14" x14ac:dyDescent="0.3">
      <c r="A914" t="s">
        <v>1306</v>
      </c>
      <c r="B914" s="5">
        <v>46017</v>
      </c>
      <c r="C914" t="s">
        <v>44</v>
      </c>
      <c r="D914" t="s">
        <v>32</v>
      </c>
      <c r="E914" t="s">
        <v>116</v>
      </c>
      <c r="F914" t="s">
        <v>25</v>
      </c>
      <c r="G914" t="s">
        <v>26</v>
      </c>
      <c r="H914" t="s">
        <v>27</v>
      </c>
      <c r="I914">
        <v>63288</v>
      </c>
      <c r="J914">
        <v>1</v>
      </c>
      <c r="K914" t="s">
        <v>53</v>
      </c>
      <c r="L914">
        <v>6876.35</v>
      </c>
      <c r="M914" t="str">
        <f t="shared" si="28"/>
        <v>Dec</v>
      </c>
      <c r="N914">
        <f t="shared" si="29"/>
        <v>2025</v>
      </c>
    </row>
    <row r="915" spans="1:14" x14ac:dyDescent="0.3">
      <c r="A915" t="s">
        <v>1307</v>
      </c>
      <c r="B915" s="5">
        <v>45993</v>
      </c>
      <c r="C915" t="s">
        <v>37</v>
      </c>
      <c r="D915" t="s">
        <v>32</v>
      </c>
      <c r="E915" t="s">
        <v>116</v>
      </c>
      <c r="F915" t="s">
        <v>46</v>
      </c>
      <c r="G915" t="s">
        <v>87</v>
      </c>
      <c r="H915" t="s">
        <v>88</v>
      </c>
      <c r="I915">
        <v>20598</v>
      </c>
      <c r="J915">
        <v>10</v>
      </c>
      <c r="K915" t="s">
        <v>28</v>
      </c>
      <c r="L915">
        <v>3889.08</v>
      </c>
      <c r="M915" t="str">
        <f t="shared" si="28"/>
        <v>Dec</v>
      </c>
      <c r="N915">
        <f t="shared" si="29"/>
        <v>2025</v>
      </c>
    </row>
    <row r="916" spans="1:14" x14ac:dyDescent="0.3">
      <c r="A916" t="s">
        <v>1308</v>
      </c>
      <c r="B916" s="5">
        <v>45892</v>
      </c>
      <c r="C916" t="s">
        <v>72</v>
      </c>
      <c r="D916" t="s">
        <v>23</v>
      </c>
      <c r="E916" t="s">
        <v>129</v>
      </c>
      <c r="F916" t="s">
        <v>46</v>
      </c>
      <c r="G916" t="s">
        <v>47</v>
      </c>
      <c r="H916" t="s">
        <v>48</v>
      </c>
      <c r="I916">
        <v>74122</v>
      </c>
      <c r="J916">
        <v>3</v>
      </c>
      <c r="K916" t="s">
        <v>49</v>
      </c>
      <c r="L916">
        <v>9609.73</v>
      </c>
      <c r="M916" t="str">
        <f t="shared" si="28"/>
        <v>Aug</v>
      </c>
      <c r="N916">
        <f t="shared" si="29"/>
        <v>2025</v>
      </c>
    </row>
    <row r="917" spans="1:14" x14ac:dyDescent="0.3">
      <c r="A917" t="s">
        <v>1309</v>
      </c>
      <c r="B917" s="5">
        <v>45988</v>
      </c>
      <c r="C917" t="s">
        <v>121</v>
      </c>
      <c r="D917" t="s">
        <v>23</v>
      </c>
      <c r="E917" t="s">
        <v>129</v>
      </c>
      <c r="F917" t="s">
        <v>17</v>
      </c>
      <c r="G917" t="s">
        <v>76</v>
      </c>
      <c r="H917" t="s">
        <v>77</v>
      </c>
      <c r="I917">
        <v>28687</v>
      </c>
      <c r="J917">
        <v>9</v>
      </c>
      <c r="K917" t="s">
        <v>28</v>
      </c>
      <c r="L917">
        <v>5911.61</v>
      </c>
      <c r="M917" t="str">
        <f t="shared" si="28"/>
        <v>Nov</v>
      </c>
      <c r="N917">
        <f t="shared" si="29"/>
        <v>2025</v>
      </c>
    </row>
    <row r="918" spans="1:14" x14ac:dyDescent="0.3">
      <c r="A918" t="s">
        <v>1310</v>
      </c>
      <c r="B918" s="5">
        <v>45741</v>
      </c>
      <c r="C918" t="s">
        <v>31</v>
      </c>
      <c r="D918" t="s">
        <v>15</v>
      </c>
      <c r="E918" t="s">
        <v>73</v>
      </c>
      <c r="F918" t="s">
        <v>46</v>
      </c>
      <c r="G918" t="s">
        <v>47</v>
      </c>
      <c r="H918" t="s">
        <v>48</v>
      </c>
      <c r="I918">
        <v>66392</v>
      </c>
      <c r="J918">
        <v>5</v>
      </c>
      <c r="K918" t="s">
        <v>53</v>
      </c>
      <c r="L918">
        <v>7242.66</v>
      </c>
      <c r="M918" t="str">
        <f t="shared" si="28"/>
        <v>Mar</v>
      </c>
      <c r="N918">
        <f t="shared" si="29"/>
        <v>2025</v>
      </c>
    </row>
    <row r="919" spans="1:14" x14ac:dyDescent="0.3">
      <c r="A919" t="s">
        <v>1311</v>
      </c>
      <c r="B919" s="5">
        <v>45857</v>
      </c>
      <c r="C919" t="s">
        <v>66</v>
      </c>
      <c r="D919" t="s">
        <v>15</v>
      </c>
      <c r="E919" t="s">
        <v>73</v>
      </c>
      <c r="F919" t="s">
        <v>17</v>
      </c>
      <c r="G919" t="s">
        <v>104</v>
      </c>
      <c r="H919" t="s">
        <v>105</v>
      </c>
      <c r="I919">
        <v>71295</v>
      </c>
      <c r="J919">
        <v>8</v>
      </c>
      <c r="K919" t="s">
        <v>28</v>
      </c>
      <c r="L919">
        <v>9928.27</v>
      </c>
      <c r="M919" t="str">
        <f t="shared" si="28"/>
        <v>Jul</v>
      </c>
      <c r="N919">
        <f t="shared" si="29"/>
        <v>2025</v>
      </c>
    </row>
    <row r="920" spans="1:14" x14ac:dyDescent="0.3">
      <c r="A920" t="s">
        <v>1312</v>
      </c>
      <c r="B920" s="5">
        <v>45872</v>
      </c>
      <c r="C920" t="s">
        <v>72</v>
      </c>
      <c r="D920" t="s">
        <v>32</v>
      </c>
      <c r="E920" t="s">
        <v>33</v>
      </c>
      <c r="F920" t="s">
        <v>25</v>
      </c>
      <c r="G920" t="s">
        <v>57</v>
      </c>
      <c r="H920" t="s">
        <v>58</v>
      </c>
      <c r="I920">
        <v>684</v>
      </c>
      <c r="J920">
        <v>1</v>
      </c>
      <c r="K920" t="s">
        <v>28</v>
      </c>
      <c r="L920">
        <v>130.11000000000001</v>
      </c>
      <c r="M920" t="str">
        <f t="shared" si="28"/>
        <v>Aug</v>
      </c>
      <c r="N920">
        <f t="shared" si="29"/>
        <v>2025</v>
      </c>
    </row>
    <row r="921" spans="1:14" x14ac:dyDescent="0.3">
      <c r="A921" t="s">
        <v>1313</v>
      </c>
      <c r="B921" s="5">
        <v>45857</v>
      </c>
      <c r="C921" t="s">
        <v>56</v>
      </c>
      <c r="D921" t="s">
        <v>32</v>
      </c>
      <c r="E921" t="s">
        <v>45</v>
      </c>
      <c r="F921" t="s">
        <v>25</v>
      </c>
      <c r="G921" t="s">
        <v>57</v>
      </c>
      <c r="H921" t="s">
        <v>58</v>
      </c>
      <c r="I921">
        <v>45652</v>
      </c>
      <c r="J921">
        <v>6</v>
      </c>
      <c r="K921" t="s">
        <v>28</v>
      </c>
      <c r="L921">
        <v>4255.5600000000004</v>
      </c>
      <c r="M921" t="str">
        <f t="shared" si="28"/>
        <v>Jul</v>
      </c>
      <c r="N921">
        <f t="shared" si="29"/>
        <v>2025</v>
      </c>
    </row>
    <row r="922" spans="1:14" x14ac:dyDescent="0.3">
      <c r="A922" t="s">
        <v>1314</v>
      </c>
      <c r="B922" s="5">
        <v>45969</v>
      </c>
      <c r="C922" t="s">
        <v>14</v>
      </c>
      <c r="D922" t="s">
        <v>23</v>
      </c>
      <c r="E922" t="s">
        <v>24</v>
      </c>
      <c r="F922" t="s">
        <v>17</v>
      </c>
      <c r="G922" t="s">
        <v>76</v>
      </c>
      <c r="H922" t="s">
        <v>77</v>
      </c>
      <c r="I922">
        <v>11639</v>
      </c>
      <c r="J922">
        <v>7</v>
      </c>
      <c r="K922" t="s">
        <v>49</v>
      </c>
      <c r="L922">
        <v>1730.2</v>
      </c>
      <c r="M922" t="str">
        <f t="shared" si="28"/>
        <v>Nov</v>
      </c>
      <c r="N922">
        <f t="shared" si="29"/>
        <v>2025</v>
      </c>
    </row>
    <row r="923" spans="1:14" x14ac:dyDescent="0.3">
      <c r="A923" t="s">
        <v>1315</v>
      </c>
      <c r="B923" s="5">
        <v>45961</v>
      </c>
      <c r="C923" t="s">
        <v>72</v>
      </c>
      <c r="D923" t="s">
        <v>32</v>
      </c>
      <c r="E923" t="s">
        <v>116</v>
      </c>
      <c r="F923" t="s">
        <v>17</v>
      </c>
      <c r="G923" t="s">
        <v>18</v>
      </c>
      <c r="H923" t="s">
        <v>19</v>
      </c>
      <c r="I923">
        <v>16576</v>
      </c>
      <c r="J923">
        <v>6</v>
      </c>
      <c r="K923" t="s">
        <v>53</v>
      </c>
      <c r="L923">
        <v>1229.8399999999999</v>
      </c>
      <c r="M923" t="str">
        <f t="shared" si="28"/>
        <v>Oct</v>
      </c>
      <c r="N923">
        <f t="shared" si="29"/>
        <v>2025</v>
      </c>
    </row>
    <row r="924" spans="1:14" x14ac:dyDescent="0.3">
      <c r="A924" t="s">
        <v>1316</v>
      </c>
      <c r="B924" s="5">
        <v>45771</v>
      </c>
      <c r="C924" t="s">
        <v>44</v>
      </c>
      <c r="D924" t="s">
        <v>32</v>
      </c>
      <c r="E924" t="s">
        <v>33</v>
      </c>
      <c r="F924" t="s">
        <v>46</v>
      </c>
      <c r="G924" t="s">
        <v>94</v>
      </c>
      <c r="H924" t="s">
        <v>95</v>
      </c>
      <c r="I924">
        <v>1667</v>
      </c>
      <c r="J924">
        <v>7</v>
      </c>
      <c r="K924" t="s">
        <v>28</v>
      </c>
      <c r="L924">
        <v>418.31</v>
      </c>
      <c r="M924" t="str">
        <f t="shared" si="28"/>
        <v>Apr</v>
      </c>
      <c r="N924">
        <f t="shared" si="29"/>
        <v>2025</v>
      </c>
    </row>
    <row r="925" spans="1:14" x14ac:dyDescent="0.3">
      <c r="A925" t="s">
        <v>1317</v>
      </c>
      <c r="B925" s="5">
        <v>45759</v>
      </c>
      <c r="C925" t="s">
        <v>31</v>
      </c>
      <c r="D925" t="s">
        <v>32</v>
      </c>
      <c r="E925" t="s">
        <v>33</v>
      </c>
      <c r="F925" t="s">
        <v>17</v>
      </c>
      <c r="G925" t="s">
        <v>104</v>
      </c>
      <c r="H925" t="s">
        <v>105</v>
      </c>
      <c r="I925">
        <v>27762</v>
      </c>
      <c r="J925">
        <v>9</v>
      </c>
      <c r="K925" t="s">
        <v>34</v>
      </c>
      <c r="L925">
        <v>4543.0200000000004</v>
      </c>
      <c r="M925" t="str">
        <f t="shared" si="28"/>
        <v>Apr</v>
      </c>
      <c r="N925">
        <f t="shared" si="29"/>
        <v>2025</v>
      </c>
    </row>
    <row r="926" spans="1:14" x14ac:dyDescent="0.3">
      <c r="A926" t="s">
        <v>1318</v>
      </c>
      <c r="B926" s="5">
        <v>45777</v>
      </c>
      <c r="C926" t="s">
        <v>31</v>
      </c>
      <c r="D926" t="s">
        <v>38</v>
      </c>
      <c r="E926" t="s">
        <v>67</v>
      </c>
      <c r="F926" t="s">
        <v>17</v>
      </c>
      <c r="G926" t="s">
        <v>18</v>
      </c>
      <c r="H926" t="s">
        <v>19</v>
      </c>
      <c r="I926">
        <v>45071</v>
      </c>
      <c r="J926">
        <v>2</v>
      </c>
      <c r="K926" t="s">
        <v>20</v>
      </c>
      <c r="L926">
        <v>9978.66</v>
      </c>
      <c r="M926" t="str">
        <f t="shared" si="28"/>
        <v>Apr</v>
      </c>
      <c r="N926">
        <f t="shared" si="29"/>
        <v>2025</v>
      </c>
    </row>
    <row r="927" spans="1:14" x14ac:dyDescent="0.3">
      <c r="A927" t="s">
        <v>1319</v>
      </c>
      <c r="B927" s="5">
        <v>45713</v>
      </c>
      <c r="C927" t="s">
        <v>66</v>
      </c>
      <c r="D927" t="s">
        <v>38</v>
      </c>
      <c r="E927" t="s">
        <v>67</v>
      </c>
      <c r="F927" t="s">
        <v>46</v>
      </c>
      <c r="G927" t="s">
        <v>94</v>
      </c>
      <c r="H927" t="s">
        <v>95</v>
      </c>
      <c r="I927">
        <v>36366</v>
      </c>
      <c r="J927">
        <v>5</v>
      </c>
      <c r="K927" t="s">
        <v>20</v>
      </c>
      <c r="L927">
        <v>4703.95</v>
      </c>
      <c r="M927" t="str">
        <f t="shared" si="28"/>
        <v>Feb</v>
      </c>
      <c r="N927">
        <f t="shared" si="29"/>
        <v>2025</v>
      </c>
    </row>
    <row r="928" spans="1:14" x14ac:dyDescent="0.3">
      <c r="A928" t="s">
        <v>1320</v>
      </c>
      <c r="B928" s="5">
        <v>45702</v>
      </c>
      <c r="C928" t="s">
        <v>31</v>
      </c>
      <c r="D928" t="s">
        <v>32</v>
      </c>
      <c r="E928" t="s">
        <v>45</v>
      </c>
      <c r="F928" t="s">
        <v>25</v>
      </c>
      <c r="G928" t="s">
        <v>26</v>
      </c>
      <c r="H928" t="s">
        <v>27</v>
      </c>
      <c r="I928">
        <v>74723</v>
      </c>
      <c r="J928">
        <v>9</v>
      </c>
      <c r="K928" t="s">
        <v>20</v>
      </c>
      <c r="L928">
        <v>13925.07</v>
      </c>
      <c r="M928" t="str">
        <f t="shared" si="28"/>
        <v>Feb</v>
      </c>
      <c r="N928">
        <f t="shared" si="29"/>
        <v>2025</v>
      </c>
    </row>
    <row r="929" spans="1:14" x14ac:dyDescent="0.3">
      <c r="A929" t="s">
        <v>1321</v>
      </c>
      <c r="B929" s="5">
        <v>46012</v>
      </c>
      <c r="C929" t="s">
        <v>44</v>
      </c>
      <c r="D929" t="s">
        <v>32</v>
      </c>
      <c r="E929" t="s">
        <v>45</v>
      </c>
      <c r="F929" t="s">
        <v>25</v>
      </c>
      <c r="G929" t="s">
        <v>26</v>
      </c>
      <c r="H929" t="s">
        <v>27</v>
      </c>
      <c r="I929">
        <v>30952</v>
      </c>
      <c r="J929">
        <v>4</v>
      </c>
      <c r="K929" t="s">
        <v>49</v>
      </c>
      <c r="L929">
        <v>5637.56</v>
      </c>
      <c r="M929" t="str">
        <f t="shared" si="28"/>
        <v>Dec</v>
      </c>
      <c r="N929">
        <f t="shared" si="29"/>
        <v>2025</v>
      </c>
    </row>
    <row r="930" spans="1:14" x14ac:dyDescent="0.3">
      <c r="A930" t="s">
        <v>1322</v>
      </c>
      <c r="B930" s="5">
        <v>45747</v>
      </c>
      <c r="C930" t="s">
        <v>72</v>
      </c>
      <c r="D930" t="s">
        <v>15</v>
      </c>
      <c r="E930" t="s">
        <v>16</v>
      </c>
      <c r="F930" t="s">
        <v>46</v>
      </c>
      <c r="G930" t="s">
        <v>87</v>
      </c>
      <c r="H930" t="s">
        <v>88</v>
      </c>
      <c r="I930">
        <v>48631</v>
      </c>
      <c r="J930">
        <v>5</v>
      </c>
      <c r="K930" t="s">
        <v>28</v>
      </c>
      <c r="L930">
        <v>12062.48</v>
      </c>
      <c r="M930" t="str">
        <f t="shared" si="28"/>
        <v>Mar</v>
      </c>
      <c r="N930">
        <f t="shared" si="29"/>
        <v>2025</v>
      </c>
    </row>
    <row r="931" spans="1:14" x14ac:dyDescent="0.3">
      <c r="A931" t="s">
        <v>1324</v>
      </c>
      <c r="B931" s="5">
        <v>45893</v>
      </c>
      <c r="C931" t="s">
        <v>44</v>
      </c>
      <c r="D931" t="s">
        <v>23</v>
      </c>
      <c r="E931" t="s">
        <v>129</v>
      </c>
      <c r="F931" t="s">
        <v>17</v>
      </c>
      <c r="G931" t="s">
        <v>18</v>
      </c>
      <c r="H931" t="s">
        <v>19</v>
      </c>
      <c r="I931">
        <v>36471</v>
      </c>
      <c r="J931">
        <v>3</v>
      </c>
      <c r="K931" t="s">
        <v>53</v>
      </c>
      <c r="L931">
        <v>4549.47</v>
      </c>
      <c r="M931" t="str">
        <f t="shared" si="28"/>
        <v>Aug</v>
      </c>
      <c r="N931">
        <f t="shared" si="29"/>
        <v>2025</v>
      </c>
    </row>
    <row r="932" spans="1:14" x14ac:dyDescent="0.3">
      <c r="A932" t="s">
        <v>1325</v>
      </c>
      <c r="B932" s="5">
        <v>45899</v>
      </c>
      <c r="C932" t="s">
        <v>63</v>
      </c>
      <c r="D932" t="s">
        <v>32</v>
      </c>
      <c r="E932" t="s">
        <v>45</v>
      </c>
      <c r="F932" t="s">
        <v>46</v>
      </c>
      <c r="G932" t="s">
        <v>87</v>
      </c>
      <c r="H932" t="s">
        <v>88</v>
      </c>
      <c r="I932">
        <v>42199</v>
      </c>
      <c r="J932">
        <v>3</v>
      </c>
      <c r="K932" t="s">
        <v>49</v>
      </c>
      <c r="L932">
        <v>5786.81</v>
      </c>
      <c r="M932" t="str">
        <f t="shared" si="28"/>
        <v>Aug</v>
      </c>
      <c r="N932">
        <f t="shared" si="29"/>
        <v>2025</v>
      </c>
    </row>
    <row r="933" spans="1:14" x14ac:dyDescent="0.3">
      <c r="A933" t="s">
        <v>1326</v>
      </c>
      <c r="B933" s="5">
        <v>45795</v>
      </c>
      <c r="C933" t="s">
        <v>56</v>
      </c>
      <c r="D933" t="s">
        <v>38</v>
      </c>
      <c r="E933" t="s">
        <v>67</v>
      </c>
      <c r="F933" t="s">
        <v>25</v>
      </c>
      <c r="G933" t="s">
        <v>57</v>
      </c>
      <c r="H933" t="s">
        <v>58</v>
      </c>
      <c r="I933">
        <v>45657</v>
      </c>
      <c r="J933">
        <v>10</v>
      </c>
      <c r="K933" t="s">
        <v>53</v>
      </c>
      <c r="L933">
        <v>5807.33</v>
      </c>
      <c r="M933" t="str">
        <f t="shared" si="28"/>
        <v>May</v>
      </c>
      <c r="N933">
        <f t="shared" si="29"/>
        <v>2025</v>
      </c>
    </row>
    <row r="934" spans="1:14" x14ac:dyDescent="0.3">
      <c r="A934" t="s">
        <v>1327</v>
      </c>
      <c r="B934" s="5">
        <v>46018</v>
      </c>
      <c r="C934" t="s">
        <v>121</v>
      </c>
      <c r="D934" t="s">
        <v>23</v>
      </c>
      <c r="E934" t="s">
        <v>24</v>
      </c>
      <c r="F934" t="s">
        <v>25</v>
      </c>
      <c r="G934" t="s">
        <v>40</v>
      </c>
      <c r="H934" t="s">
        <v>41</v>
      </c>
      <c r="I934">
        <v>60035</v>
      </c>
      <c r="J934">
        <v>8</v>
      </c>
      <c r="K934" t="s">
        <v>20</v>
      </c>
      <c r="L934">
        <v>16092.7</v>
      </c>
      <c r="M934" t="str">
        <f t="shared" si="28"/>
        <v>Dec</v>
      </c>
      <c r="N934">
        <f t="shared" si="29"/>
        <v>2025</v>
      </c>
    </row>
    <row r="935" spans="1:14" x14ac:dyDescent="0.3">
      <c r="A935" t="s">
        <v>1328</v>
      </c>
      <c r="B935" s="5">
        <v>45889</v>
      </c>
      <c r="C935" t="s">
        <v>37</v>
      </c>
      <c r="D935" t="s">
        <v>38</v>
      </c>
      <c r="E935" t="s">
        <v>67</v>
      </c>
      <c r="F935" t="s">
        <v>25</v>
      </c>
      <c r="G935" t="s">
        <v>26</v>
      </c>
      <c r="H935" t="s">
        <v>27</v>
      </c>
      <c r="I935">
        <v>50218</v>
      </c>
      <c r="J935">
        <v>2</v>
      </c>
      <c r="K935" t="s">
        <v>34</v>
      </c>
      <c r="L935">
        <v>8354.6200000000008</v>
      </c>
      <c r="M935" t="str">
        <f t="shared" si="28"/>
        <v>Aug</v>
      </c>
      <c r="N935">
        <f t="shared" si="29"/>
        <v>2025</v>
      </c>
    </row>
    <row r="936" spans="1:14" x14ac:dyDescent="0.3">
      <c r="A936" t="s">
        <v>1329</v>
      </c>
      <c r="B936" s="5">
        <v>45804</v>
      </c>
      <c r="C936" t="s">
        <v>66</v>
      </c>
      <c r="D936" t="s">
        <v>32</v>
      </c>
      <c r="E936" t="s">
        <v>33</v>
      </c>
      <c r="F936" t="s">
        <v>46</v>
      </c>
      <c r="G936" t="s">
        <v>94</v>
      </c>
      <c r="H936" t="s">
        <v>95</v>
      </c>
      <c r="I936">
        <v>53688</v>
      </c>
      <c r="J936">
        <v>3</v>
      </c>
      <c r="K936" t="s">
        <v>28</v>
      </c>
      <c r="L936">
        <v>3864.2</v>
      </c>
      <c r="M936" t="str">
        <f t="shared" si="28"/>
        <v>May</v>
      </c>
      <c r="N936">
        <f t="shared" si="29"/>
        <v>2025</v>
      </c>
    </row>
    <row r="937" spans="1:14" x14ac:dyDescent="0.3">
      <c r="A937" t="s">
        <v>1330</v>
      </c>
      <c r="B937" s="5">
        <v>45678</v>
      </c>
      <c r="C937" t="s">
        <v>121</v>
      </c>
      <c r="D937" t="s">
        <v>15</v>
      </c>
      <c r="E937" t="s">
        <v>16</v>
      </c>
      <c r="F937" t="s">
        <v>46</v>
      </c>
      <c r="G937" t="s">
        <v>47</v>
      </c>
      <c r="H937" t="s">
        <v>48</v>
      </c>
      <c r="I937">
        <v>42289</v>
      </c>
      <c r="J937">
        <v>8</v>
      </c>
      <c r="K937" t="s">
        <v>49</v>
      </c>
      <c r="L937">
        <v>6916.69</v>
      </c>
      <c r="M937" t="str">
        <f t="shared" si="28"/>
        <v>Jan</v>
      </c>
      <c r="N937">
        <f t="shared" si="29"/>
        <v>2025</v>
      </c>
    </row>
    <row r="938" spans="1:14" x14ac:dyDescent="0.3">
      <c r="A938" t="s">
        <v>1332</v>
      </c>
      <c r="B938" s="5">
        <v>45777</v>
      </c>
      <c r="C938" t="s">
        <v>37</v>
      </c>
      <c r="D938" t="s">
        <v>23</v>
      </c>
      <c r="E938" t="s">
        <v>82</v>
      </c>
      <c r="F938" t="s">
        <v>25</v>
      </c>
      <c r="G938" t="s">
        <v>57</v>
      </c>
      <c r="H938" t="s">
        <v>58</v>
      </c>
      <c r="I938">
        <v>21999</v>
      </c>
      <c r="J938">
        <v>4</v>
      </c>
      <c r="K938" t="s">
        <v>34</v>
      </c>
      <c r="L938">
        <v>4883.8599999999997</v>
      </c>
      <c r="M938" t="str">
        <f t="shared" si="28"/>
        <v>Apr</v>
      </c>
      <c r="N938">
        <f t="shared" si="29"/>
        <v>2025</v>
      </c>
    </row>
    <row r="939" spans="1:14" x14ac:dyDescent="0.3">
      <c r="A939" t="s">
        <v>1333</v>
      </c>
      <c r="B939" s="5">
        <v>45723</v>
      </c>
      <c r="C939" t="s">
        <v>44</v>
      </c>
      <c r="D939" t="s">
        <v>32</v>
      </c>
      <c r="E939" t="s">
        <v>116</v>
      </c>
      <c r="F939" t="s">
        <v>25</v>
      </c>
      <c r="G939" t="s">
        <v>40</v>
      </c>
      <c r="H939" t="s">
        <v>41</v>
      </c>
      <c r="I939">
        <v>64827</v>
      </c>
      <c r="J939">
        <v>3</v>
      </c>
      <c r="K939" t="s">
        <v>34</v>
      </c>
      <c r="L939">
        <v>11605.01</v>
      </c>
      <c r="M939" t="str">
        <f t="shared" si="28"/>
        <v>Mar</v>
      </c>
      <c r="N939">
        <f t="shared" si="29"/>
        <v>2025</v>
      </c>
    </row>
    <row r="940" spans="1:14" x14ac:dyDescent="0.3">
      <c r="A940" t="s">
        <v>1334</v>
      </c>
      <c r="B940" s="5">
        <v>45814</v>
      </c>
      <c r="C940" t="s">
        <v>31</v>
      </c>
      <c r="D940" t="s">
        <v>32</v>
      </c>
      <c r="E940" t="s">
        <v>33</v>
      </c>
      <c r="F940" t="s">
        <v>46</v>
      </c>
      <c r="G940" t="s">
        <v>47</v>
      </c>
      <c r="H940" t="s">
        <v>48</v>
      </c>
      <c r="I940">
        <v>29906</v>
      </c>
      <c r="J940">
        <v>8</v>
      </c>
      <c r="K940" t="s">
        <v>53</v>
      </c>
      <c r="L940">
        <v>4055.2</v>
      </c>
      <c r="M940" t="str">
        <f t="shared" si="28"/>
        <v>Jun</v>
      </c>
      <c r="N940">
        <f t="shared" si="29"/>
        <v>2025</v>
      </c>
    </row>
    <row r="941" spans="1:14" x14ac:dyDescent="0.3">
      <c r="A941" t="s">
        <v>1335</v>
      </c>
      <c r="B941" s="5">
        <v>45868</v>
      </c>
      <c r="C941" t="s">
        <v>66</v>
      </c>
      <c r="D941" t="s">
        <v>38</v>
      </c>
      <c r="E941" t="s">
        <v>67</v>
      </c>
      <c r="F941" t="s">
        <v>46</v>
      </c>
      <c r="G941" t="s">
        <v>87</v>
      </c>
      <c r="H941" t="s">
        <v>88</v>
      </c>
      <c r="I941">
        <v>14020</v>
      </c>
      <c r="J941">
        <v>3</v>
      </c>
      <c r="K941" t="s">
        <v>34</v>
      </c>
      <c r="L941">
        <v>2839.35</v>
      </c>
      <c r="M941" t="str">
        <f t="shared" si="28"/>
        <v>Jul</v>
      </c>
      <c r="N941">
        <f t="shared" si="29"/>
        <v>2025</v>
      </c>
    </row>
    <row r="942" spans="1:14" x14ac:dyDescent="0.3">
      <c r="A942" t="s">
        <v>1336</v>
      </c>
      <c r="B942" s="5">
        <v>45698</v>
      </c>
      <c r="C942" t="s">
        <v>37</v>
      </c>
      <c r="D942" t="s">
        <v>15</v>
      </c>
      <c r="E942" t="s">
        <v>154</v>
      </c>
      <c r="F942" t="s">
        <v>25</v>
      </c>
      <c r="G942" t="s">
        <v>26</v>
      </c>
      <c r="H942" t="s">
        <v>27</v>
      </c>
      <c r="I942">
        <v>69085</v>
      </c>
      <c r="J942">
        <v>8</v>
      </c>
      <c r="K942" t="s">
        <v>20</v>
      </c>
      <c r="L942">
        <v>14009.84</v>
      </c>
      <c r="M942" t="str">
        <f t="shared" si="28"/>
        <v>Feb</v>
      </c>
      <c r="N942">
        <f t="shared" si="29"/>
        <v>2025</v>
      </c>
    </row>
    <row r="943" spans="1:14" x14ac:dyDescent="0.3">
      <c r="A943" t="s">
        <v>1337</v>
      </c>
      <c r="B943" s="5">
        <v>45768</v>
      </c>
      <c r="C943" t="s">
        <v>66</v>
      </c>
      <c r="D943" t="s">
        <v>15</v>
      </c>
      <c r="E943" t="s">
        <v>73</v>
      </c>
      <c r="F943" t="s">
        <v>25</v>
      </c>
      <c r="G943" t="s">
        <v>26</v>
      </c>
      <c r="H943" t="s">
        <v>27</v>
      </c>
      <c r="I943">
        <v>2370</v>
      </c>
      <c r="J943">
        <v>2</v>
      </c>
      <c r="K943" t="s">
        <v>20</v>
      </c>
      <c r="L943">
        <v>422.64</v>
      </c>
      <c r="M943" t="str">
        <f t="shared" si="28"/>
        <v>Apr</v>
      </c>
      <c r="N943">
        <f t="shared" si="29"/>
        <v>2025</v>
      </c>
    </row>
    <row r="944" spans="1:14" x14ac:dyDescent="0.3">
      <c r="A944" t="s">
        <v>1338</v>
      </c>
      <c r="B944" s="5">
        <v>45701</v>
      </c>
      <c r="C944" t="s">
        <v>31</v>
      </c>
      <c r="D944" t="s">
        <v>23</v>
      </c>
      <c r="E944" t="s">
        <v>82</v>
      </c>
      <c r="F944" t="s">
        <v>46</v>
      </c>
      <c r="G944" t="s">
        <v>94</v>
      </c>
      <c r="H944" t="s">
        <v>95</v>
      </c>
      <c r="I944">
        <v>54999</v>
      </c>
      <c r="J944">
        <v>10</v>
      </c>
      <c r="K944" t="s">
        <v>20</v>
      </c>
      <c r="L944">
        <v>12957.84</v>
      </c>
      <c r="M944" t="str">
        <f t="shared" si="28"/>
        <v>Feb</v>
      </c>
      <c r="N944">
        <f t="shared" si="29"/>
        <v>2025</v>
      </c>
    </row>
    <row r="945" spans="1:14" x14ac:dyDescent="0.3">
      <c r="A945" t="s">
        <v>1339</v>
      </c>
      <c r="B945" s="5">
        <v>45807</v>
      </c>
      <c r="C945" t="s">
        <v>44</v>
      </c>
      <c r="D945" t="s">
        <v>32</v>
      </c>
      <c r="E945" t="s">
        <v>116</v>
      </c>
      <c r="F945" t="s">
        <v>25</v>
      </c>
      <c r="G945" t="s">
        <v>57</v>
      </c>
      <c r="H945" t="s">
        <v>58</v>
      </c>
      <c r="I945">
        <v>23511</v>
      </c>
      <c r="J945">
        <v>5</v>
      </c>
      <c r="K945" t="s">
        <v>28</v>
      </c>
      <c r="L945">
        <v>3177.07</v>
      </c>
      <c r="M945" t="str">
        <f t="shared" si="28"/>
        <v>May</v>
      </c>
      <c r="N945">
        <f t="shared" si="29"/>
        <v>2025</v>
      </c>
    </row>
    <row r="946" spans="1:14" x14ac:dyDescent="0.3">
      <c r="A946" t="s">
        <v>1340</v>
      </c>
      <c r="B946" s="5">
        <v>45682</v>
      </c>
      <c r="C946" t="s">
        <v>72</v>
      </c>
      <c r="D946" t="s">
        <v>15</v>
      </c>
      <c r="E946" t="s">
        <v>16</v>
      </c>
      <c r="F946" t="s">
        <v>46</v>
      </c>
      <c r="G946" t="s">
        <v>94</v>
      </c>
      <c r="H946" t="s">
        <v>95</v>
      </c>
      <c r="I946">
        <v>63720</v>
      </c>
      <c r="J946">
        <v>7</v>
      </c>
      <c r="K946" t="s">
        <v>20</v>
      </c>
      <c r="L946">
        <v>17790.43</v>
      </c>
      <c r="M946" t="str">
        <f t="shared" si="28"/>
        <v>Jan</v>
      </c>
      <c r="N946">
        <f t="shared" si="29"/>
        <v>2025</v>
      </c>
    </row>
    <row r="947" spans="1:14" x14ac:dyDescent="0.3">
      <c r="A947" t="s">
        <v>1341</v>
      </c>
      <c r="B947" s="5">
        <v>45897</v>
      </c>
      <c r="C947" t="s">
        <v>44</v>
      </c>
      <c r="D947" t="s">
        <v>15</v>
      </c>
      <c r="E947" t="s">
        <v>154</v>
      </c>
      <c r="F947" t="s">
        <v>17</v>
      </c>
      <c r="G947" t="s">
        <v>104</v>
      </c>
      <c r="H947" t="s">
        <v>105</v>
      </c>
      <c r="I947">
        <v>65234</v>
      </c>
      <c r="J947">
        <v>6</v>
      </c>
      <c r="K947" t="s">
        <v>49</v>
      </c>
      <c r="L947">
        <v>9582.86</v>
      </c>
      <c r="M947" t="str">
        <f t="shared" si="28"/>
        <v>Aug</v>
      </c>
      <c r="N947">
        <f t="shared" si="29"/>
        <v>2025</v>
      </c>
    </row>
    <row r="948" spans="1:14" x14ac:dyDescent="0.3">
      <c r="A948" t="s">
        <v>1342</v>
      </c>
      <c r="B948" s="5">
        <v>45797</v>
      </c>
      <c r="C948" t="s">
        <v>37</v>
      </c>
      <c r="D948" t="s">
        <v>23</v>
      </c>
      <c r="E948" t="s">
        <v>24</v>
      </c>
      <c r="F948" t="s">
        <v>46</v>
      </c>
      <c r="G948" t="s">
        <v>47</v>
      </c>
      <c r="H948" t="s">
        <v>48</v>
      </c>
      <c r="I948">
        <v>69868</v>
      </c>
      <c r="J948">
        <v>7</v>
      </c>
      <c r="K948" t="s">
        <v>53</v>
      </c>
      <c r="L948">
        <v>8834.7800000000007</v>
      </c>
      <c r="M948" t="str">
        <f t="shared" si="28"/>
        <v>May</v>
      </c>
      <c r="N948">
        <f t="shared" si="29"/>
        <v>2025</v>
      </c>
    </row>
    <row r="949" spans="1:14" x14ac:dyDescent="0.3">
      <c r="A949" t="s">
        <v>1343</v>
      </c>
      <c r="B949" s="5">
        <v>45823</v>
      </c>
      <c r="C949" t="s">
        <v>56</v>
      </c>
      <c r="D949" t="s">
        <v>15</v>
      </c>
      <c r="E949" t="s">
        <v>73</v>
      </c>
      <c r="F949" t="s">
        <v>25</v>
      </c>
      <c r="G949" t="s">
        <v>40</v>
      </c>
      <c r="H949" t="s">
        <v>41</v>
      </c>
      <c r="I949">
        <v>66037</v>
      </c>
      <c r="J949">
        <v>4</v>
      </c>
      <c r="K949" t="s">
        <v>34</v>
      </c>
      <c r="L949">
        <v>14721.6</v>
      </c>
      <c r="M949" t="str">
        <f t="shared" si="28"/>
        <v>Jun</v>
      </c>
      <c r="N949">
        <f t="shared" si="29"/>
        <v>2025</v>
      </c>
    </row>
    <row r="950" spans="1:14" x14ac:dyDescent="0.3">
      <c r="A950" t="s">
        <v>1344</v>
      </c>
      <c r="B950" s="5">
        <v>45682</v>
      </c>
      <c r="C950" t="s">
        <v>44</v>
      </c>
      <c r="D950" t="s">
        <v>38</v>
      </c>
      <c r="E950" t="s">
        <v>52</v>
      </c>
      <c r="F950" t="s">
        <v>17</v>
      </c>
      <c r="G950" t="s">
        <v>76</v>
      </c>
      <c r="H950" t="s">
        <v>77</v>
      </c>
      <c r="I950">
        <v>49875</v>
      </c>
      <c r="J950">
        <v>8</v>
      </c>
      <c r="K950" t="s">
        <v>20</v>
      </c>
      <c r="L950">
        <v>6700.43</v>
      </c>
      <c r="M950" t="str">
        <f t="shared" si="28"/>
        <v>Jan</v>
      </c>
      <c r="N950">
        <f t="shared" si="29"/>
        <v>2025</v>
      </c>
    </row>
    <row r="951" spans="1:14" x14ac:dyDescent="0.3">
      <c r="A951" t="s">
        <v>1345</v>
      </c>
      <c r="B951" s="5">
        <v>45827</v>
      </c>
      <c r="C951" t="s">
        <v>66</v>
      </c>
      <c r="D951" t="s">
        <v>15</v>
      </c>
      <c r="E951" t="s">
        <v>16</v>
      </c>
      <c r="F951" t="s">
        <v>46</v>
      </c>
      <c r="G951" t="s">
        <v>47</v>
      </c>
      <c r="H951" t="s">
        <v>48</v>
      </c>
      <c r="I951">
        <v>75436</v>
      </c>
      <c r="J951">
        <v>5</v>
      </c>
      <c r="K951" t="s">
        <v>34</v>
      </c>
      <c r="L951">
        <v>13533.75</v>
      </c>
      <c r="M951" t="str">
        <f t="shared" si="28"/>
        <v>Jun</v>
      </c>
      <c r="N951">
        <f t="shared" si="29"/>
        <v>2025</v>
      </c>
    </row>
    <row r="952" spans="1:14" x14ac:dyDescent="0.3">
      <c r="A952" t="s">
        <v>1346</v>
      </c>
      <c r="B952" s="5">
        <v>45785</v>
      </c>
      <c r="C952" t="s">
        <v>72</v>
      </c>
      <c r="D952" t="s">
        <v>32</v>
      </c>
      <c r="E952" t="s">
        <v>45</v>
      </c>
      <c r="F952" t="s">
        <v>17</v>
      </c>
      <c r="G952" t="s">
        <v>76</v>
      </c>
      <c r="H952" t="s">
        <v>77</v>
      </c>
      <c r="I952">
        <v>63771</v>
      </c>
      <c r="J952">
        <v>7</v>
      </c>
      <c r="K952" t="s">
        <v>34</v>
      </c>
      <c r="L952">
        <v>11555.6</v>
      </c>
      <c r="M952" t="str">
        <f t="shared" si="28"/>
        <v>May</v>
      </c>
      <c r="N952">
        <f t="shared" si="29"/>
        <v>2025</v>
      </c>
    </row>
    <row r="953" spans="1:14" x14ac:dyDescent="0.3">
      <c r="A953" t="s">
        <v>1347</v>
      </c>
      <c r="B953" s="5">
        <v>45879</v>
      </c>
      <c r="C953" t="s">
        <v>66</v>
      </c>
      <c r="D953" t="s">
        <v>32</v>
      </c>
      <c r="E953" t="s">
        <v>116</v>
      </c>
      <c r="F953" t="s">
        <v>17</v>
      </c>
      <c r="G953" t="s">
        <v>76</v>
      </c>
      <c r="H953" t="s">
        <v>77</v>
      </c>
      <c r="I953">
        <v>52427</v>
      </c>
      <c r="J953">
        <v>1</v>
      </c>
      <c r="K953" t="s">
        <v>20</v>
      </c>
      <c r="L953">
        <v>7621.91</v>
      </c>
      <c r="M953" t="str">
        <f t="shared" si="28"/>
        <v>Aug</v>
      </c>
      <c r="N953">
        <f t="shared" si="29"/>
        <v>2025</v>
      </c>
    </row>
    <row r="954" spans="1:14" x14ac:dyDescent="0.3">
      <c r="A954" t="s">
        <v>1348</v>
      </c>
      <c r="B954" s="5">
        <v>45860</v>
      </c>
      <c r="C954" t="s">
        <v>63</v>
      </c>
      <c r="D954" t="s">
        <v>23</v>
      </c>
      <c r="E954" t="s">
        <v>129</v>
      </c>
      <c r="F954" t="s">
        <v>17</v>
      </c>
      <c r="G954" t="s">
        <v>104</v>
      </c>
      <c r="H954" t="s">
        <v>105</v>
      </c>
      <c r="I954">
        <v>72053</v>
      </c>
      <c r="J954">
        <v>10</v>
      </c>
      <c r="K954" t="s">
        <v>20</v>
      </c>
      <c r="L954">
        <v>14841.49</v>
      </c>
      <c r="M954" t="str">
        <f t="shared" si="28"/>
        <v>Jul</v>
      </c>
      <c r="N954">
        <f t="shared" si="29"/>
        <v>2025</v>
      </c>
    </row>
    <row r="955" spans="1:14" x14ac:dyDescent="0.3">
      <c r="A955" t="s">
        <v>1349</v>
      </c>
      <c r="B955" s="5">
        <v>45867</v>
      </c>
      <c r="C955" t="s">
        <v>37</v>
      </c>
      <c r="D955" t="s">
        <v>32</v>
      </c>
      <c r="E955" t="s">
        <v>33</v>
      </c>
      <c r="F955" t="s">
        <v>46</v>
      </c>
      <c r="G955" t="s">
        <v>94</v>
      </c>
      <c r="H955" t="s">
        <v>95</v>
      </c>
      <c r="I955">
        <v>68365</v>
      </c>
      <c r="J955">
        <v>10</v>
      </c>
      <c r="K955" t="s">
        <v>49</v>
      </c>
      <c r="L955">
        <v>14320.9</v>
      </c>
      <c r="M955" t="str">
        <f t="shared" si="28"/>
        <v>Jul</v>
      </c>
      <c r="N955">
        <f t="shared" si="29"/>
        <v>2025</v>
      </c>
    </row>
    <row r="956" spans="1:14" x14ac:dyDescent="0.3">
      <c r="A956" t="s">
        <v>1350</v>
      </c>
      <c r="B956" s="5">
        <v>45804</v>
      </c>
      <c r="C956" t="s">
        <v>56</v>
      </c>
      <c r="D956" t="s">
        <v>15</v>
      </c>
      <c r="E956" t="s">
        <v>73</v>
      </c>
      <c r="F956" t="s">
        <v>25</v>
      </c>
      <c r="G956" t="s">
        <v>26</v>
      </c>
      <c r="H956" t="s">
        <v>27</v>
      </c>
      <c r="I956">
        <v>70144</v>
      </c>
      <c r="J956">
        <v>7</v>
      </c>
      <c r="K956" t="s">
        <v>28</v>
      </c>
      <c r="L956">
        <v>14355.95</v>
      </c>
      <c r="M956" t="str">
        <f t="shared" si="28"/>
        <v>May</v>
      </c>
      <c r="N956">
        <f t="shared" si="29"/>
        <v>2025</v>
      </c>
    </row>
    <row r="957" spans="1:14" x14ac:dyDescent="0.3">
      <c r="A957" t="s">
        <v>1351</v>
      </c>
      <c r="B957" s="5">
        <v>45851</v>
      </c>
      <c r="C957" t="s">
        <v>14</v>
      </c>
      <c r="D957" t="s">
        <v>23</v>
      </c>
      <c r="E957" t="s">
        <v>82</v>
      </c>
      <c r="F957" t="s">
        <v>46</v>
      </c>
      <c r="G957" t="s">
        <v>47</v>
      </c>
      <c r="H957" t="s">
        <v>48</v>
      </c>
      <c r="I957">
        <v>47756</v>
      </c>
      <c r="J957">
        <v>1</v>
      </c>
      <c r="K957" t="s">
        <v>20</v>
      </c>
      <c r="L957">
        <v>8475.08</v>
      </c>
      <c r="M957" t="str">
        <f t="shared" si="28"/>
        <v>Jul</v>
      </c>
      <c r="N957">
        <f t="shared" si="29"/>
        <v>2025</v>
      </c>
    </row>
    <row r="958" spans="1:14" x14ac:dyDescent="0.3">
      <c r="A958" t="s">
        <v>1352</v>
      </c>
      <c r="B958" s="5">
        <v>45706</v>
      </c>
      <c r="C958" t="s">
        <v>31</v>
      </c>
      <c r="D958" t="s">
        <v>15</v>
      </c>
      <c r="E958" t="s">
        <v>154</v>
      </c>
      <c r="F958" t="s">
        <v>17</v>
      </c>
      <c r="G958" t="s">
        <v>18</v>
      </c>
      <c r="H958" t="s">
        <v>19</v>
      </c>
      <c r="I958">
        <v>75619</v>
      </c>
      <c r="J958">
        <v>9</v>
      </c>
      <c r="K958" t="s">
        <v>28</v>
      </c>
      <c r="L958">
        <v>10115.549999999999</v>
      </c>
      <c r="M958" t="str">
        <f t="shared" si="28"/>
        <v>Feb</v>
      </c>
      <c r="N958">
        <f t="shared" si="29"/>
        <v>2025</v>
      </c>
    </row>
    <row r="959" spans="1:14" x14ac:dyDescent="0.3">
      <c r="A959" t="s">
        <v>1353</v>
      </c>
      <c r="B959" s="5">
        <v>45905</v>
      </c>
      <c r="C959" t="s">
        <v>72</v>
      </c>
      <c r="D959" t="s">
        <v>38</v>
      </c>
      <c r="E959" t="s">
        <v>39</v>
      </c>
      <c r="F959" t="s">
        <v>46</v>
      </c>
      <c r="G959" t="s">
        <v>47</v>
      </c>
      <c r="H959" t="s">
        <v>48</v>
      </c>
      <c r="I959">
        <v>67091</v>
      </c>
      <c r="J959">
        <v>9</v>
      </c>
      <c r="K959" t="s">
        <v>49</v>
      </c>
      <c r="L959">
        <v>10759.21</v>
      </c>
      <c r="M959" t="str">
        <f t="shared" si="28"/>
        <v>Sep</v>
      </c>
      <c r="N959">
        <f t="shared" si="29"/>
        <v>2025</v>
      </c>
    </row>
    <row r="960" spans="1:14" x14ac:dyDescent="0.3">
      <c r="A960" t="s">
        <v>1355</v>
      </c>
      <c r="B960" s="5">
        <v>45882</v>
      </c>
      <c r="C960" t="s">
        <v>56</v>
      </c>
      <c r="D960" t="s">
        <v>38</v>
      </c>
      <c r="E960" t="s">
        <v>39</v>
      </c>
      <c r="F960" t="s">
        <v>17</v>
      </c>
      <c r="G960" t="s">
        <v>104</v>
      </c>
      <c r="H960" t="s">
        <v>105</v>
      </c>
      <c r="I960">
        <v>13919</v>
      </c>
      <c r="J960">
        <v>1</v>
      </c>
      <c r="K960" t="s">
        <v>53</v>
      </c>
      <c r="L960">
        <v>1435.2</v>
      </c>
      <c r="M960" t="str">
        <f t="shared" si="28"/>
        <v>Aug</v>
      </c>
      <c r="N960">
        <f t="shared" si="29"/>
        <v>2025</v>
      </c>
    </row>
    <row r="961" spans="1:14" x14ac:dyDescent="0.3">
      <c r="A961" t="s">
        <v>1356</v>
      </c>
      <c r="B961" s="5">
        <v>45938</v>
      </c>
      <c r="C961" t="s">
        <v>37</v>
      </c>
      <c r="D961" t="s">
        <v>15</v>
      </c>
      <c r="E961" t="s">
        <v>16</v>
      </c>
      <c r="F961" t="s">
        <v>46</v>
      </c>
      <c r="G961" t="s">
        <v>47</v>
      </c>
      <c r="H961" t="s">
        <v>48</v>
      </c>
      <c r="I961">
        <v>71824</v>
      </c>
      <c r="J961">
        <v>6</v>
      </c>
      <c r="K961" t="s">
        <v>20</v>
      </c>
      <c r="L961">
        <v>13012.68</v>
      </c>
      <c r="M961" t="str">
        <f t="shared" si="28"/>
        <v>Oct</v>
      </c>
      <c r="N961">
        <f t="shared" si="29"/>
        <v>2025</v>
      </c>
    </row>
    <row r="962" spans="1:14" x14ac:dyDescent="0.3">
      <c r="A962" t="s">
        <v>1357</v>
      </c>
      <c r="B962" s="5">
        <v>45880</v>
      </c>
      <c r="C962" t="s">
        <v>56</v>
      </c>
      <c r="D962" t="s">
        <v>23</v>
      </c>
      <c r="E962" t="s">
        <v>82</v>
      </c>
      <c r="F962" t="s">
        <v>46</v>
      </c>
      <c r="G962" t="s">
        <v>94</v>
      </c>
      <c r="H962" t="s">
        <v>95</v>
      </c>
      <c r="I962">
        <v>10398</v>
      </c>
      <c r="J962">
        <v>9</v>
      </c>
      <c r="K962" t="s">
        <v>53</v>
      </c>
      <c r="L962">
        <v>2091.16</v>
      </c>
      <c r="M962" t="str">
        <f t="shared" si="28"/>
        <v>Aug</v>
      </c>
      <c r="N962">
        <f t="shared" si="29"/>
        <v>2025</v>
      </c>
    </row>
    <row r="963" spans="1:14" x14ac:dyDescent="0.3">
      <c r="A963" t="s">
        <v>1358</v>
      </c>
      <c r="B963" s="5">
        <v>45921</v>
      </c>
      <c r="C963" t="s">
        <v>56</v>
      </c>
      <c r="D963" t="s">
        <v>23</v>
      </c>
      <c r="E963" t="s">
        <v>82</v>
      </c>
      <c r="F963" t="s">
        <v>25</v>
      </c>
      <c r="G963" t="s">
        <v>26</v>
      </c>
      <c r="H963" t="s">
        <v>27</v>
      </c>
      <c r="I963">
        <v>657</v>
      </c>
      <c r="J963">
        <v>1</v>
      </c>
      <c r="K963" t="s">
        <v>53</v>
      </c>
      <c r="L963">
        <v>164.06</v>
      </c>
      <c r="M963" t="str">
        <f t="shared" ref="M963:M1001" si="30">TEXT(B963,"mmm")</f>
        <v>Sep</v>
      </c>
      <c r="N963">
        <f t="shared" ref="N963:N1001" si="31">YEAR(B963)</f>
        <v>2025</v>
      </c>
    </row>
    <row r="964" spans="1:14" x14ac:dyDescent="0.3">
      <c r="A964" t="s">
        <v>1359</v>
      </c>
      <c r="B964" s="5">
        <v>45856</v>
      </c>
      <c r="C964" t="s">
        <v>56</v>
      </c>
      <c r="D964" t="s">
        <v>32</v>
      </c>
      <c r="E964" t="s">
        <v>116</v>
      </c>
      <c r="F964" t="s">
        <v>25</v>
      </c>
      <c r="G964" t="s">
        <v>40</v>
      </c>
      <c r="H964" t="s">
        <v>41</v>
      </c>
      <c r="I964">
        <v>62007</v>
      </c>
      <c r="J964">
        <v>5</v>
      </c>
      <c r="K964" t="s">
        <v>49</v>
      </c>
      <c r="L964">
        <v>5396.29</v>
      </c>
      <c r="M964" t="str">
        <f t="shared" si="30"/>
        <v>Jul</v>
      </c>
      <c r="N964">
        <f t="shared" si="31"/>
        <v>2025</v>
      </c>
    </row>
    <row r="965" spans="1:14" x14ac:dyDescent="0.3">
      <c r="A965" t="s">
        <v>1360</v>
      </c>
      <c r="B965" s="5">
        <v>45708</v>
      </c>
      <c r="C965" t="s">
        <v>72</v>
      </c>
      <c r="D965" t="s">
        <v>23</v>
      </c>
      <c r="E965" t="s">
        <v>129</v>
      </c>
      <c r="F965" t="s">
        <v>46</v>
      </c>
      <c r="G965" t="s">
        <v>47</v>
      </c>
      <c r="H965" t="s">
        <v>48</v>
      </c>
      <c r="I965">
        <v>6035</v>
      </c>
      <c r="J965">
        <v>5</v>
      </c>
      <c r="K965" t="s">
        <v>28</v>
      </c>
      <c r="L965">
        <v>803.09</v>
      </c>
      <c r="M965" t="str">
        <f t="shared" si="30"/>
        <v>Feb</v>
      </c>
      <c r="N965">
        <f t="shared" si="31"/>
        <v>2025</v>
      </c>
    </row>
    <row r="966" spans="1:14" x14ac:dyDescent="0.3">
      <c r="A966" t="s">
        <v>1361</v>
      </c>
      <c r="B966" s="5">
        <v>45823</v>
      </c>
      <c r="C966" t="s">
        <v>37</v>
      </c>
      <c r="D966" t="s">
        <v>15</v>
      </c>
      <c r="E966" t="s">
        <v>16</v>
      </c>
      <c r="F966" t="s">
        <v>46</v>
      </c>
      <c r="G966" t="s">
        <v>94</v>
      </c>
      <c r="H966" t="s">
        <v>95</v>
      </c>
      <c r="I966">
        <v>34647</v>
      </c>
      <c r="J966">
        <v>6</v>
      </c>
      <c r="K966" t="s">
        <v>34</v>
      </c>
      <c r="L966">
        <v>8457.8799999999992</v>
      </c>
      <c r="M966" t="str">
        <f t="shared" si="30"/>
        <v>Jun</v>
      </c>
      <c r="N966">
        <f t="shared" si="31"/>
        <v>2025</v>
      </c>
    </row>
    <row r="967" spans="1:14" x14ac:dyDescent="0.3">
      <c r="A967" t="s">
        <v>1362</v>
      </c>
      <c r="B967" s="5">
        <v>45883</v>
      </c>
      <c r="C967" t="s">
        <v>37</v>
      </c>
      <c r="D967" t="s">
        <v>32</v>
      </c>
      <c r="E967" t="s">
        <v>33</v>
      </c>
      <c r="F967" t="s">
        <v>25</v>
      </c>
      <c r="G967" t="s">
        <v>26</v>
      </c>
      <c r="H967" t="s">
        <v>27</v>
      </c>
      <c r="I967">
        <v>48228</v>
      </c>
      <c r="J967">
        <v>6</v>
      </c>
      <c r="K967" t="s">
        <v>28</v>
      </c>
      <c r="L967">
        <v>9207.67</v>
      </c>
      <c r="M967" t="str">
        <f t="shared" si="30"/>
        <v>Aug</v>
      </c>
      <c r="N967">
        <f t="shared" si="31"/>
        <v>2025</v>
      </c>
    </row>
    <row r="968" spans="1:14" x14ac:dyDescent="0.3">
      <c r="A968" t="s">
        <v>1363</v>
      </c>
      <c r="B968" s="5">
        <v>45665</v>
      </c>
      <c r="C968" t="s">
        <v>31</v>
      </c>
      <c r="D968" t="s">
        <v>15</v>
      </c>
      <c r="E968" t="s">
        <v>73</v>
      </c>
      <c r="F968" t="s">
        <v>17</v>
      </c>
      <c r="G968" t="s">
        <v>18</v>
      </c>
      <c r="H968" t="s">
        <v>19</v>
      </c>
      <c r="I968">
        <v>73303</v>
      </c>
      <c r="J968">
        <v>5</v>
      </c>
      <c r="K968" t="s">
        <v>20</v>
      </c>
      <c r="L968">
        <v>20156.29</v>
      </c>
      <c r="M968" t="str">
        <f t="shared" si="30"/>
        <v>Jan</v>
      </c>
      <c r="N968">
        <f t="shared" si="31"/>
        <v>2025</v>
      </c>
    </row>
    <row r="969" spans="1:14" x14ac:dyDescent="0.3">
      <c r="A969" t="s">
        <v>1364</v>
      </c>
      <c r="B969" s="5">
        <v>45982</v>
      </c>
      <c r="C969" t="s">
        <v>121</v>
      </c>
      <c r="D969" t="s">
        <v>32</v>
      </c>
      <c r="E969" t="s">
        <v>116</v>
      </c>
      <c r="F969" t="s">
        <v>17</v>
      </c>
      <c r="G969" t="s">
        <v>76</v>
      </c>
      <c r="H969" t="s">
        <v>77</v>
      </c>
      <c r="I969">
        <v>70913</v>
      </c>
      <c r="J969">
        <v>1</v>
      </c>
      <c r="K969" t="s">
        <v>49</v>
      </c>
      <c r="L969">
        <v>5631.11</v>
      </c>
      <c r="M969" t="str">
        <f t="shared" si="30"/>
        <v>Nov</v>
      </c>
      <c r="N969">
        <f t="shared" si="31"/>
        <v>2025</v>
      </c>
    </row>
    <row r="970" spans="1:14" x14ac:dyDescent="0.3">
      <c r="A970" t="s">
        <v>1365</v>
      </c>
      <c r="B970" s="5">
        <v>45918</v>
      </c>
      <c r="C970" t="s">
        <v>72</v>
      </c>
      <c r="D970" t="s">
        <v>38</v>
      </c>
      <c r="E970" t="s">
        <v>67</v>
      </c>
      <c r="F970" t="s">
        <v>25</v>
      </c>
      <c r="G970" t="s">
        <v>40</v>
      </c>
      <c r="H970" t="s">
        <v>41</v>
      </c>
      <c r="I970">
        <v>39417</v>
      </c>
      <c r="J970">
        <v>6</v>
      </c>
      <c r="K970" t="s">
        <v>28</v>
      </c>
      <c r="L970">
        <v>8509.9699999999993</v>
      </c>
      <c r="M970" t="str">
        <f t="shared" si="30"/>
        <v>Sep</v>
      </c>
      <c r="N970">
        <f t="shared" si="31"/>
        <v>2025</v>
      </c>
    </row>
    <row r="971" spans="1:14" x14ac:dyDescent="0.3">
      <c r="A971" t="s">
        <v>1366</v>
      </c>
      <c r="B971" s="5">
        <v>45868</v>
      </c>
      <c r="C971" t="s">
        <v>63</v>
      </c>
      <c r="D971" t="s">
        <v>38</v>
      </c>
      <c r="E971" t="s">
        <v>39</v>
      </c>
      <c r="F971" t="s">
        <v>25</v>
      </c>
      <c r="G971" t="s">
        <v>26</v>
      </c>
      <c r="H971" t="s">
        <v>27</v>
      </c>
      <c r="I971">
        <v>33029</v>
      </c>
      <c r="J971">
        <v>4</v>
      </c>
      <c r="K971" t="s">
        <v>28</v>
      </c>
      <c r="L971">
        <v>7881.26</v>
      </c>
      <c r="M971" t="str">
        <f t="shared" si="30"/>
        <v>Jul</v>
      </c>
      <c r="N971">
        <f t="shared" si="31"/>
        <v>2025</v>
      </c>
    </row>
    <row r="972" spans="1:14" x14ac:dyDescent="0.3">
      <c r="A972" t="s">
        <v>1367</v>
      </c>
      <c r="B972" s="5">
        <v>45826</v>
      </c>
      <c r="C972" t="s">
        <v>37</v>
      </c>
      <c r="D972" t="s">
        <v>23</v>
      </c>
      <c r="E972" t="s">
        <v>129</v>
      </c>
      <c r="F972" t="s">
        <v>25</v>
      </c>
      <c r="G972" t="s">
        <v>57</v>
      </c>
      <c r="H972" t="s">
        <v>58</v>
      </c>
      <c r="I972">
        <v>9367</v>
      </c>
      <c r="J972">
        <v>7</v>
      </c>
      <c r="K972" t="s">
        <v>49</v>
      </c>
      <c r="L972">
        <v>2212.98</v>
      </c>
      <c r="M972" t="str">
        <f t="shared" si="30"/>
        <v>Jun</v>
      </c>
      <c r="N972">
        <f t="shared" si="31"/>
        <v>2025</v>
      </c>
    </row>
    <row r="973" spans="1:14" x14ac:dyDescent="0.3">
      <c r="A973" t="s">
        <v>1368</v>
      </c>
      <c r="B973" s="5">
        <v>45664</v>
      </c>
      <c r="C973" t="s">
        <v>37</v>
      </c>
      <c r="D973" t="s">
        <v>32</v>
      </c>
      <c r="E973" t="s">
        <v>33</v>
      </c>
      <c r="F973" t="s">
        <v>46</v>
      </c>
      <c r="G973" t="s">
        <v>47</v>
      </c>
      <c r="H973" t="s">
        <v>48</v>
      </c>
      <c r="I973">
        <v>70955</v>
      </c>
      <c r="J973">
        <v>4</v>
      </c>
      <c r="K973" t="s">
        <v>34</v>
      </c>
      <c r="L973">
        <v>11398.53</v>
      </c>
      <c r="M973" t="str">
        <f t="shared" si="30"/>
        <v>Jan</v>
      </c>
      <c r="N973">
        <f t="shared" si="31"/>
        <v>2025</v>
      </c>
    </row>
    <row r="974" spans="1:14" x14ac:dyDescent="0.3">
      <c r="A974" t="s">
        <v>1369</v>
      </c>
      <c r="B974" s="5">
        <v>45809</v>
      </c>
      <c r="C974" t="s">
        <v>31</v>
      </c>
      <c r="D974" t="s">
        <v>23</v>
      </c>
      <c r="E974" t="s">
        <v>24</v>
      </c>
      <c r="F974" t="s">
        <v>25</v>
      </c>
      <c r="G974" t="s">
        <v>26</v>
      </c>
      <c r="H974" t="s">
        <v>27</v>
      </c>
      <c r="I974">
        <v>79415</v>
      </c>
      <c r="J974">
        <v>9</v>
      </c>
      <c r="K974" t="s">
        <v>49</v>
      </c>
      <c r="L974">
        <v>6835.99</v>
      </c>
      <c r="M974" t="str">
        <f t="shared" si="30"/>
        <v>Jun</v>
      </c>
      <c r="N974">
        <f t="shared" si="31"/>
        <v>2025</v>
      </c>
    </row>
    <row r="975" spans="1:14" x14ac:dyDescent="0.3">
      <c r="A975" t="s">
        <v>1371</v>
      </c>
      <c r="B975" s="5">
        <v>45722</v>
      </c>
      <c r="C975" t="s">
        <v>56</v>
      </c>
      <c r="D975" t="s">
        <v>23</v>
      </c>
      <c r="E975" t="s">
        <v>24</v>
      </c>
      <c r="F975" t="s">
        <v>17</v>
      </c>
      <c r="G975" t="s">
        <v>76</v>
      </c>
      <c r="H975" t="s">
        <v>77</v>
      </c>
      <c r="I975">
        <v>62179</v>
      </c>
      <c r="J975">
        <v>1</v>
      </c>
      <c r="K975" t="s">
        <v>49</v>
      </c>
      <c r="L975">
        <v>13108.88</v>
      </c>
      <c r="M975" t="str">
        <f t="shared" si="30"/>
        <v>Mar</v>
      </c>
      <c r="N975">
        <f t="shared" si="31"/>
        <v>2025</v>
      </c>
    </row>
    <row r="976" spans="1:14" x14ac:dyDescent="0.3">
      <c r="A976" t="s">
        <v>1372</v>
      </c>
      <c r="B976" s="5">
        <v>45853</v>
      </c>
      <c r="C976" t="s">
        <v>44</v>
      </c>
      <c r="D976" t="s">
        <v>32</v>
      </c>
      <c r="E976" t="s">
        <v>45</v>
      </c>
      <c r="F976" t="s">
        <v>46</v>
      </c>
      <c r="G976" t="s">
        <v>47</v>
      </c>
      <c r="H976" t="s">
        <v>48</v>
      </c>
      <c r="I976">
        <v>74705</v>
      </c>
      <c r="J976">
        <v>2</v>
      </c>
      <c r="K976" t="s">
        <v>49</v>
      </c>
      <c r="L976">
        <v>7648.16</v>
      </c>
      <c r="M976" t="str">
        <f t="shared" si="30"/>
        <v>Jul</v>
      </c>
      <c r="N976">
        <f t="shared" si="31"/>
        <v>2025</v>
      </c>
    </row>
    <row r="977" spans="1:14" x14ac:dyDescent="0.3">
      <c r="A977" t="s">
        <v>1374</v>
      </c>
      <c r="B977" s="5">
        <v>45846</v>
      </c>
      <c r="C977" t="s">
        <v>72</v>
      </c>
      <c r="D977" t="s">
        <v>15</v>
      </c>
      <c r="E977" t="s">
        <v>154</v>
      </c>
      <c r="F977" t="s">
        <v>46</v>
      </c>
      <c r="G977" t="s">
        <v>94</v>
      </c>
      <c r="H977" t="s">
        <v>95</v>
      </c>
      <c r="I977">
        <v>8451</v>
      </c>
      <c r="J977">
        <v>3</v>
      </c>
      <c r="K977" t="s">
        <v>28</v>
      </c>
      <c r="L977">
        <v>925.3</v>
      </c>
      <c r="M977" t="str">
        <f t="shared" si="30"/>
        <v>Jul</v>
      </c>
      <c r="N977">
        <f t="shared" si="31"/>
        <v>2025</v>
      </c>
    </row>
    <row r="978" spans="1:14" x14ac:dyDescent="0.3">
      <c r="A978" t="s">
        <v>1375</v>
      </c>
      <c r="B978" s="5">
        <v>45724</v>
      </c>
      <c r="C978" t="s">
        <v>56</v>
      </c>
      <c r="D978" t="s">
        <v>38</v>
      </c>
      <c r="E978" t="s">
        <v>39</v>
      </c>
      <c r="F978" t="s">
        <v>17</v>
      </c>
      <c r="G978" t="s">
        <v>104</v>
      </c>
      <c r="H978" t="s">
        <v>105</v>
      </c>
      <c r="I978">
        <v>57878</v>
      </c>
      <c r="J978">
        <v>5</v>
      </c>
      <c r="K978" t="s">
        <v>49</v>
      </c>
      <c r="L978">
        <v>5213.0200000000004</v>
      </c>
      <c r="M978" t="str">
        <f t="shared" si="30"/>
        <v>Mar</v>
      </c>
      <c r="N978">
        <f t="shared" si="31"/>
        <v>2025</v>
      </c>
    </row>
    <row r="979" spans="1:14" x14ac:dyDescent="0.3">
      <c r="A979" t="s">
        <v>1376</v>
      </c>
      <c r="B979" s="5">
        <v>45790</v>
      </c>
      <c r="C979" t="s">
        <v>56</v>
      </c>
      <c r="D979" t="s">
        <v>32</v>
      </c>
      <c r="E979" t="s">
        <v>45</v>
      </c>
      <c r="F979" t="s">
        <v>25</v>
      </c>
      <c r="G979" t="s">
        <v>26</v>
      </c>
      <c r="H979" t="s">
        <v>27</v>
      </c>
      <c r="I979">
        <v>66443</v>
      </c>
      <c r="J979">
        <v>3</v>
      </c>
      <c r="K979" t="s">
        <v>28</v>
      </c>
      <c r="L979">
        <v>11653.33</v>
      </c>
      <c r="M979" t="str">
        <f t="shared" si="30"/>
        <v>May</v>
      </c>
      <c r="N979">
        <f t="shared" si="31"/>
        <v>2025</v>
      </c>
    </row>
    <row r="980" spans="1:14" x14ac:dyDescent="0.3">
      <c r="A980" t="s">
        <v>1377</v>
      </c>
      <c r="B980" s="5">
        <v>45715</v>
      </c>
      <c r="C980" t="s">
        <v>14</v>
      </c>
      <c r="D980" t="s">
        <v>32</v>
      </c>
      <c r="E980" t="s">
        <v>45</v>
      </c>
      <c r="F980" t="s">
        <v>25</v>
      </c>
      <c r="G980" t="s">
        <v>40</v>
      </c>
      <c r="H980" t="s">
        <v>41</v>
      </c>
      <c r="I980">
        <v>36614</v>
      </c>
      <c r="J980">
        <v>5</v>
      </c>
      <c r="K980" t="s">
        <v>20</v>
      </c>
      <c r="L980">
        <v>5990.07</v>
      </c>
      <c r="M980" t="str">
        <f t="shared" si="30"/>
        <v>Feb</v>
      </c>
      <c r="N980">
        <f t="shared" si="31"/>
        <v>2025</v>
      </c>
    </row>
    <row r="981" spans="1:14" x14ac:dyDescent="0.3">
      <c r="A981" t="s">
        <v>1378</v>
      </c>
      <c r="B981" s="5">
        <v>45959</v>
      </c>
      <c r="C981" t="s">
        <v>31</v>
      </c>
      <c r="D981" t="s">
        <v>23</v>
      </c>
      <c r="E981" t="s">
        <v>129</v>
      </c>
      <c r="F981" t="s">
        <v>25</v>
      </c>
      <c r="G981" t="s">
        <v>40</v>
      </c>
      <c r="H981" t="s">
        <v>41</v>
      </c>
      <c r="I981">
        <v>39350</v>
      </c>
      <c r="J981">
        <v>2</v>
      </c>
      <c r="K981" t="s">
        <v>49</v>
      </c>
      <c r="L981">
        <v>5484.56</v>
      </c>
      <c r="M981" t="str">
        <f t="shared" si="30"/>
        <v>Oct</v>
      </c>
      <c r="N981">
        <f t="shared" si="31"/>
        <v>2025</v>
      </c>
    </row>
    <row r="982" spans="1:14" x14ac:dyDescent="0.3">
      <c r="A982" t="s">
        <v>1379</v>
      </c>
      <c r="B982" s="5">
        <v>45867</v>
      </c>
      <c r="C982" t="s">
        <v>44</v>
      </c>
      <c r="D982" t="s">
        <v>23</v>
      </c>
      <c r="E982" t="s">
        <v>82</v>
      </c>
      <c r="F982" t="s">
        <v>46</v>
      </c>
      <c r="G982" t="s">
        <v>87</v>
      </c>
      <c r="H982" t="s">
        <v>88</v>
      </c>
      <c r="I982">
        <v>33055</v>
      </c>
      <c r="J982">
        <v>3</v>
      </c>
      <c r="K982" t="s">
        <v>28</v>
      </c>
      <c r="L982">
        <v>4927.83</v>
      </c>
      <c r="M982" t="str">
        <f t="shared" si="30"/>
        <v>Jul</v>
      </c>
      <c r="N982">
        <f t="shared" si="31"/>
        <v>2025</v>
      </c>
    </row>
    <row r="983" spans="1:14" x14ac:dyDescent="0.3">
      <c r="A983" t="s">
        <v>1380</v>
      </c>
      <c r="B983" s="5">
        <v>45859</v>
      </c>
      <c r="C983" t="s">
        <v>66</v>
      </c>
      <c r="D983" t="s">
        <v>15</v>
      </c>
      <c r="E983" t="s">
        <v>154</v>
      </c>
      <c r="F983" t="s">
        <v>46</v>
      </c>
      <c r="G983" t="s">
        <v>87</v>
      </c>
      <c r="H983" t="s">
        <v>88</v>
      </c>
      <c r="I983">
        <v>17664</v>
      </c>
      <c r="J983">
        <v>5</v>
      </c>
      <c r="K983" t="s">
        <v>53</v>
      </c>
      <c r="L983">
        <v>2132.61</v>
      </c>
      <c r="M983" t="str">
        <f t="shared" si="30"/>
        <v>Jul</v>
      </c>
      <c r="N983">
        <f t="shared" si="31"/>
        <v>2025</v>
      </c>
    </row>
    <row r="984" spans="1:14" x14ac:dyDescent="0.3">
      <c r="A984" t="s">
        <v>1381</v>
      </c>
      <c r="B984" s="5">
        <v>45978</v>
      </c>
      <c r="C984" t="s">
        <v>56</v>
      </c>
      <c r="D984" t="s">
        <v>23</v>
      </c>
      <c r="E984" t="s">
        <v>82</v>
      </c>
      <c r="F984" t="s">
        <v>17</v>
      </c>
      <c r="G984" t="s">
        <v>104</v>
      </c>
      <c r="H984" t="s">
        <v>105</v>
      </c>
      <c r="I984">
        <v>51096</v>
      </c>
      <c r="J984">
        <v>3</v>
      </c>
      <c r="K984" t="s">
        <v>28</v>
      </c>
      <c r="L984">
        <v>8278.2000000000007</v>
      </c>
      <c r="M984" t="str">
        <f t="shared" si="30"/>
        <v>Nov</v>
      </c>
      <c r="N984">
        <f t="shared" si="31"/>
        <v>2025</v>
      </c>
    </row>
    <row r="985" spans="1:14" x14ac:dyDescent="0.3">
      <c r="A985" t="s">
        <v>1382</v>
      </c>
      <c r="B985" s="5">
        <v>45822</v>
      </c>
      <c r="C985" t="s">
        <v>121</v>
      </c>
      <c r="D985" t="s">
        <v>38</v>
      </c>
      <c r="E985" t="s">
        <v>39</v>
      </c>
      <c r="F985" t="s">
        <v>17</v>
      </c>
      <c r="G985" t="s">
        <v>18</v>
      </c>
      <c r="H985" t="s">
        <v>19</v>
      </c>
      <c r="I985">
        <v>38444</v>
      </c>
      <c r="J985">
        <v>4</v>
      </c>
      <c r="K985" t="s">
        <v>28</v>
      </c>
      <c r="L985">
        <v>6804.69</v>
      </c>
      <c r="M985" t="str">
        <f t="shared" si="30"/>
        <v>Jun</v>
      </c>
      <c r="N985">
        <f t="shared" si="31"/>
        <v>2025</v>
      </c>
    </row>
    <row r="986" spans="1:14" x14ac:dyDescent="0.3">
      <c r="A986" t="s">
        <v>1383</v>
      </c>
      <c r="B986" s="5">
        <v>45985</v>
      </c>
      <c r="C986" t="s">
        <v>44</v>
      </c>
      <c r="D986" t="s">
        <v>23</v>
      </c>
      <c r="E986" t="s">
        <v>129</v>
      </c>
      <c r="F986" t="s">
        <v>17</v>
      </c>
      <c r="G986" t="s">
        <v>76</v>
      </c>
      <c r="H986" t="s">
        <v>77</v>
      </c>
      <c r="I986">
        <v>60025</v>
      </c>
      <c r="J986">
        <v>7</v>
      </c>
      <c r="K986" t="s">
        <v>20</v>
      </c>
      <c r="L986">
        <v>14458.78</v>
      </c>
      <c r="M986" t="str">
        <f t="shared" si="30"/>
        <v>Nov</v>
      </c>
      <c r="N986">
        <f t="shared" si="31"/>
        <v>2025</v>
      </c>
    </row>
    <row r="987" spans="1:14" x14ac:dyDescent="0.3">
      <c r="A987" t="s">
        <v>1384</v>
      </c>
      <c r="B987" s="5">
        <v>45990</v>
      </c>
      <c r="C987" t="s">
        <v>72</v>
      </c>
      <c r="D987" t="s">
        <v>23</v>
      </c>
      <c r="E987" t="s">
        <v>24</v>
      </c>
      <c r="F987" t="s">
        <v>46</v>
      </c>
      <c r="G987" t="s">
        <v>87</v>
      </c>
      <c r="H987" t="s">
        <v>88</v>
      </c>
      <c r="I987">
        <v>70930</v>
      </c>
      <c r="J987">
        <v>2</v>
      </c>
      <c r="K987" t="s">
        <v>20</v>
      </c>
      <c r="L987">
        <v>13704.83</v>
      </c>
      <c r="M987" t="str">
        <f t="shared" si="30"/>
        <v>Nov</v>
      </c>
      <c r="N987">
        <f t="shared" si="31"/>
        <v>2025</v>
      </c>
    </row>
    <row r="988" spans="1:14" x14ac:dyDescent="0.3">
      <c r="A988" t="s">
        <v>1385</v>
      </c>
      <c r="B988" s="5">
        <v>45970</v>
      </c>
      <c r="C988" t="s">
        <v>56</v>
      </c>
      <c r="D988" t="s">
        <v>23</v>
      </c>
      <c r="E988" t="s">
        <v>129</v>
      </c>
      <c r="F988" t="s">
        <v>46</v>
      </c>
      <c r="G988" t="s">
        <v>87</v>
      </c>
      <c r="H988" t="s">
        <v>88</v>
      </c>
      <c r="I988">
        <v>65930</v>
      </c>
      <c r="J988">
        <v>10</v>
      </c>
      <c r="K988" t="s">
        <v>28</v>
      </c>
      <c r="L988">
        <v>4325.13</v>
      </c>
      <c r="M988" t="str">
        <f t="shared" si="30"/>
        <v>Nov</v>
      </c>
      <c r="N988">
        <f t="shared" si="31"/>
        <v>2025</v>
      </c>
    </row>
    <row r="989" spans="1:14" x14ac:dyDescent="0.3">
      <c r="A989" t="s">
        <v>1386</v>
      </c>
      <c r="B989" s="5">
        <v>45725</v>
      </c>
      <c r="C989" t="s">
        <v>37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16177</v>
      </c>
      <c r="J989">
        <v>2</v>
      </c>
      <c r="K989" t="s">
        <v>49</v>
      </c>
      <c r="L989">
        <v>4166.1099999999997</v>
      </c>
      <c r="M989" t="str">
        <f t="shared" si="30"/>
        <v>Mar</v>
      </c>
      <c r="N989">
        <f t="shared" si="31"/>
        <v>2025</v>
      </c>
    </row>
    <row r="990" spans="1:14" x14ac:dyDescent="0.3">
      <c r="A990" t="s">
        <v>1387</v>
      </c>
      <c r="B990" s="5">
        <v>45684</v>
      </c>
      <c r="C990" t="s">
        <v>72</v>
      </c>
      <c r="D990" t="s">
        <v>23</v>
      </c>
      <c r="E990" t="s">
        <v>82</v>
      </c>
      <c r="F990" t="s">
        <v>46</v>
      </c>
      <c r="G990" t="s">
        <v>94</v>
      </c>
      <c r="H990" t="s">
        <v>95</v>
      </c>
      <c r="I990">
        <v>3834</v>
      </c>
      <c r="J990">
        <v>4</v>
      </c>
      <c r="K990" t="s">
        <v>20</v>
      </c>
      <c r="L990">
        <v>313.3</v>
      </c>
      <c r="M990" t="str">
        <f t="shared" si="30"/>
        <v>Jan</v>
      </c>
      <c r="N990">
        <f t="shared" si="31"/>
        <v>2025</v>
      </c>
    </row>
    <row r="991" spans="1:14" x14ac:dyDescent="0.3">
      <c r="A991" t="s">
        <v>1388</v>
      </c>
      <c r="B991" s="5">
        <v>45699</v>
      </c>
      <c r="C991" t="s">
        <v>44</v>
      </c>
      <c r="D991" t="s">
        <v>15</v>
      </c>
      <c r="E991" t="s">
        <v>73</v>
      </c>
      <c r="F991" t="s">
        <v>17</v>
      </c>
      <c r="G991" t="s">
        <v>104</v>
      </c>
      <c r="H991" t="s">
        <v>105</v>
      </c>
      <c r="I991">
        <v>67886</v>
      </c>
      <c r="J991">
        <v>5</v>
      </c>
      <c r="K991" t="s">
        <v>53</v>
      </c>
      <c r="L991">
        <v>5732.17</v>
      </c>
      <c r="M991" t="str">
        <f t="shared" si="30"/>
        <v>Feb</v>
      </c>
      <c r="N991">
        <f t="shared" si="31"/>
        <v>2025</v>
      </c>
    </row>
    <row r="992" spans="1:14" x14ac:dyDescent="0.3">
      <c r="A992" t="s">
        <v>1389</v>
      </c>
      <c r="B992" s="5">
        <v>45871</v>
      </c>
      <c r="C992" t="s">
        <v>72</v>
      </c>
      <c r="D992" t="s">
        <v>23</v>
      </c>
      <c r="E992" t="s">
        <v>24</v>
      </c>
      <c r="F992" t="s">
        <v>17</v>
      </c>
      <c r="G992" t="s">
        <v>104</v>
      </c>
      <c r="H992" t="s">
        <v>105</v>
      </c>
      <c r="I992">
        <v>72777</v>
      </c>
      <c r="J992">
        <v>8</v>
      </c>
      <c r="K992" t="s">
        <v>34</v>
      </c>
      <c r="L992">
        <v>17022.66</v>
      </c>
      <c r="M992" t="str">
        <f t="shared" si="30"/>
        <v>Aug</v>
      </c>
      <c r="N992">
        <f t="shared" si="31"/>
        <v>2025</v>
      </c>
    </row>
    <row r="993" spans="1:14" x14ac:dyDescent="0.3">
      <c r="A993" t="s">
        <v>1390</v>
      </c>
      <c r="B993" s="5">
        <v>45966</v>
      </c>
      <c r="C993" t="s">
        <v>31</v>
      </c>
      <c r="D993" t="s">
        <v>23</v>
      </c>
      <c r="E993" t="s">
        <v>129</v>
      </c>
      <c r="F993" t="s">
        <v>17</v>
      </c>
      <c r="G993" t="s">
        <v>76</v>
      </c>
      <c r="H993" t="s">
        <v>77</v>
      </c>
      <c r="I993">
        <v>29956</v>
      </c>
      <c r="J993">
        <v>7</v>
      </c>
      <c r="K993" t="s">
        <v>28</v>
      </c>
      <c r="L993">
        <v>4240.8900000000003</v>
      </c>
      <c r="M993" t="str">
        <f t="shared" si="30"/>
        <v>Nov</v>
      </c>
      <c r="N993">
        <f t="shared" si="31"/>
        <v>2025</v>
      </c>
    </row>
    <row r="994" spans="1:14" x14ac:dyDescent="0.3">
      <c r="A994" t="s">
        <v>1392</v>
      </c>
      <c r="B994" s="5">
        <v>45943</v>
      </c>
      <c r="C994" t="s">
        <v>14</v>
      </c>
      <c r="D994" t="s">
        <v>23</v>
      </c>
      <c r="E994" t="s">
        <v>24</v>
      </c>
      <c r="F994" t="s">
        <v>25</v>
      </c>
      <c r="G994" t="s">
        <v>40</v>
      </c>
      <c r="H994" t="s">
        <v>41</v>
      </c>
      <c r="I994">
        <v>16597</v>
      </c>
      <c r="J994">
        <v>10</v>
      </c>
      <c r="K994" t="s">
        <v>28</v>
      </c>
      <c r="L994">
        <v>1993.08</v>
      </c>
      <c r="M994" t="str">
        <f t="shared" si="30"/>
        <v>Oct</v>
      </c>
      <c r="N994">
        <f t="shared" si="31"/>
        <v>2025</v>
      </c>
    </row>
    <row r="995" spans="1:14" x14ac:dyDescent="0.3">
      <c r="A995" t="s">
        <v>1393</v>
      </c>
      <c r="B995" s="5">
        <v>45870</v>
      </c>
      <c r="C995" t="s">
        <v>72</v>
      </c>
      <c r="D995" t="s">
        <v>38</v>
      </c>
      <c r="E995" t="s">
        <v>67</v>
      </c>
      <c r="F995" t="s">
        <v>17</v>
      </c>
      <c r="G995" t="s">
        <v>18</v>
      </c>
      <c r="H995" t="s">
        <v>19</v>
      </c>
      <c r="I995">
        <v>45923</v>
      </c>
      <c r="J995">
        <v>3</v>
      </c>
      <c r="K995" t="s">
        <v>34</v>
      </c>
      <c r="L995">
        <v>4236.82</v>
      </c>
      <c r="M995" t="str">
        <f t="shared" si="30"/>
        <v>Aug</v>
      </c>
      <c r="N995">
        <f t="shared" si="31"/>
        <v>2025</v>
      </c>
    </row>
    <row r="996" spans="1:14" x14ac:dyDescent="0.3">
      <c r="A996" t="s">
        <v>1394</v>
      </c>
      <c r="B996" s="5">
        <v>45681</v>
      </c>
      <c r="C996" t="s">
        <v>63</v>
      </c>
      <c r="D996" t="s">
        <v>38</v>
      </c>
      <c r="E996" t="s">
        <v>39</v>
      </c>
      <c r="F996" t="s">
        <v>25</v>
      </c>
      <c r="G996" t="s">
        <v>26</v>
      </c>
      <c r="H996" t="s">
        <v>27</v>
      </c>
      <c r="I996">
        <v>21202</v>
      </c>
      <c r="J996">
        <v>1</v>
      </c>
      <c r="K996" t="s">
        <v>34</v>
      </c>
      <c r="L996">
        <v>2032.2</v>
      </c>
      <c r="M996" t="str">
        <f t="shared" si="30"/>
        <v>Jan</v>
      </c>
      <c r="N996">
        <f t="shared" si="31"/>
        <v>2025</v>
      </c>
    </row>
    <row r="997" spans="1:14" x14ac:dyDescent="0.3">
      <c r="A997" t="s">
        <v>1395</v>
      </c>
      <c r="B997" s="5">
        <v>45774</v>
      </c>
      <c r="C997" t="s">
        <v>91</v>
      </c>
      <c r="D997" t="s">
        <v>32</v>
      </c>
      <c r="E997" t="s">
        <v>33</v>
      </c>
      <c r="F997" t="s">
        <v>17</v>
      </c>
      <c r="G997" t="s">
        <v>18</v>
      </c>
      <c r="H997" t="s">
        <v>19</v>
      </c>
      <c r="I997">
        <v>63053</v>
      </c>
      <c r="J997">
        <v>2</v>
      </c>
      <c r="K997" t="s">
        <v>28</v>
      </c>
      <c r="L997">
        <v>4516.43</v>
      </c>
      <c r="M997" t="str">
        <f t="shared" si="30"/>
        <v>Apr</v>
      </c>
      <c r="N997">
        <f t="shared" si="31"/>
        <v>2025</v>
      </c>
    </row>
    <row r="998" spans="1:14" x14ac:dyDescent="0.3">
      <c r="A998" t="s">
        <v>1396</v>
      </c>
      <c r="B998" s="5">
        <v>45970</v>
      </c>
      <c r="C998" t="s">
        <v>72</v>
      </c>
      <c r="D998" t="s">
        <v>32</v>
      </c>
      <c r="E998" t="s">
        <v>33</v>
      </c>
      <c r="F998" t="s">
        <v>17</v>
      </c>
      <c r="G998" t="s">
        <v>76</v>
      </c>
      <c r="H998" t="s">
        <v>77</v>
      </c>
      <c r="I998">
        <v>48714</v>
      </c>
      <c r="J998">
        <v>7</v>
      </c>
      <c r="K998" t="s">
        <v>34</v>
      </c>
      <c r="L998">
        <v>9539.74</v>
      </c>
      <c r="M998" t="str">
        <f t="shared" si="30"/>
        <v>Nov</v>
      </c>
      <c r="N998">
        <f t="shared" si="31"/>
        <v>2025</v>
      </c>
    </row>
    <row r="999" spans="1:14" x14ac:dyDescent="0.3">
      <c r="A999" t="s">
        <v>1397</v>
      </c>
      <c r="B999" s="5">
        <v>45679</v>
      </c>
      <c r="C999" t="s">
        <v>56</v>
      </c>
      <c r="D999" t="s">
        <v>23</v>
      </c>
      <c r="E999" t="s">
        <v>129</v>
      </c>
      <c r="F999" t="s">
        <v>46</v>
      </c>
      <c r="G999" t="s">
        <v>94</v>
      </c>
      <c r="H999" t="s">
        <v>95</v>
      </c>
      <c r="I999">
        <v>60628</v>
      </c>
      <c r="J999">
        <v>7</v>
      </c>
      <c r="K999" t="s">
        <v>53</v>
      </c>
      <c r="L999">
        <v>10650.2</v>
      </c>
      <c r="M999" t="str">
        <f t="shared" si="30"/>
        <v>Jan</v>
      </c>
      <c r="N999">
        <f t="shared" si="31"/>
        <v>2025</v>
      </c>
    </row>
    <row r="1000" spans="1:14" x14ac:dyDescent="0.3">
      <c r="A1000" t="s">
        <v>1399</v>
      </c>
      <c r="B1000" s="5">
        <v>45940</v>
      </c>
      <c r="C1000" t="s">
        <v>56</v>
      </c>
      <c r="D1000" t="s">
        <v>15</v>
      </c>
      <c r="E1000" t="s">
        <v>16</v>
      </c>
      <c r="F1000" t="s">
        <v>46</v>
      </c>
      <c r="G1000" t="s">
        <v>94</v>
      </c>
      <c r="H1000" t="s">
        <v>95</v>
      </c>
      <c r="I1000">
        <v>4946</v>
      </c>
      <c r="J1000">
        <v>6</v>
      </c>
      <c r="K1000" t="s">
        <v>28</v>
      </c>
      <c r="L1000">
        <v>875.33</v>
      </c>
      <c r="M1000" t="str">
        <f t="shared" si="30"/>
        <v>Oct</v>
      </c>
      <c r="N1000">
        <f t="shared" si="31"/>
        <v>2025</v>
      </c>
    </row>
    <row r="1001" spans="1:14" x14ac:dyDescent="0.3">
      <c r="A1001" t="s">
        <v>1400</v>
      </c>
      <c r="B1001" s="5">
        <v>45943</v>
      </c>
      <c r="C1001" t="s">
        <v>63</v>
      </c>
      <c r="D1001" t="s">
        <v>23</v>
      </c>
      <c r="E1001" t="s">
        <v>24</v>
      </c>
      <c r="F1001" t="s">
        <v>17</v>
      </c>
      <c r="G1001" t="s">
        <v>18</v>
      </c>
      <c r="H1001" t="s">
        <v>19</v>
      </c>
      <c r="I1001">
        <v>31717</v>
      </c>
      <c r="J1001">
        <v>10</v>
      </c>
      <c r="K1001" t="s">
        <v>20</v>
      </c>
      <c r="L1001">
        <v>8233.9699999999993</v>
      </c>
      <c r="M1001" t="str">
        <f t="shared" si="30"/>
        <v>Oct</v>
      </c>
      <c r="N1001">
        <f t="shared" si="31"/>
        <v>2025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280D2-DF50-4DBF-BE5B-1F69A4435A0B}">
  <dimension ref="A1:L1001"/>
  <sheetViews>
    <sheetView workbookViewId="0">
      <selection activeCell="E11" sqref="E11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6" max="6" width="10.44140625" customWidth="1"/>
    <col min="7" max="7" width="14.33203125" customWidth="1"/>
    <col min="8" max="8" width="15" customWidth="1"/>
    <col min="10" max="11" width="10.218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64079</v>
      </c>
      <c r="J2">
        <v>7</v>
      </c>
      <c r="K2" t="s">
        <v>20</v>
      </c>
      <c r="L2">
        <v>11572.42</v>
      </c>
    </row>
    <row r="3" spans="1:12" x14ac:dyDescent="0.3">
      <c r="A3" t="s">
        <v>21</v>
      </c>
      <c r="B3" t="s">
        <v>22</v>
      </c>
      <c r="C3" t="s">
        <v>14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>
        <v>15393</v>
      </c>
      <c r="J3">
        <v>6</v>
      </c>
      <c r="K3" t="s">
        <v>28</v>
      </c>
      <c r="L3">
        <v>3368.83</v>
      </c>
    </row>
    <row r="4" spans="1:12" x14ac:dyDescent="0.3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25</v>
      </c>
      <c r="G4" t="s">
        <v>26</v>
      </c>
      <c r="H4" t="s">
        <v>27</v>
      </c>
      <c r="I4">
        <v>79449</v>
      </c>
      <c r="J4">
        <v>9</v>
      </c>
      <c r="K4" t="s">
        <v>34</v>
      </c>
      <c r="L4">
        <v>20039.900000000001</v>
      </c>
    </row>
    <row r="5" spans="1:12" x14ac:dyDescent="0.3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25</v>
      </c>
      <c r="G5" t="s">
        <v>40</v>
      </c>
      <c r="H5" t="s">
        <v>41</v>
      </c>
      <c r="I5">
        <v>45792</v>
      </c>
      <c r="J5">
        <v>2</v>
      </c>
      <c r="K5" t="s">
        <v>34</v>
      </c>
      <c r="L5">
        <v>6651.79</v>
      </c>
    </row>
    <row r="6" spans="1:12" x14ac:dyDescent="0.3">
      <c r="A6" t="s">
        <v>42</v>
      </c>
      <c r="B6" t="s">
        <v>43</v>
      </c>
      <c r="C6" t="s">
        <v>44</v>
      </c>
      <c r="D6" t="s">
        <v>32</v>
      </c>
      <c r="E6" t="s">
        <v>45</v>
      </c>
      <c r="F6" t="s">
        <v>46</v>
      </c>
      <c r="G6" t="s">
        <v>47</v>
      </c>
      <c r="H6" t="s">
        <v>48</v>
      </c>
      <c r="I6">
        <v>24475</v>
      </c>
      <c r="J6">
        <v>9</v>
      </c>
      <c r="K6" t="s">
        <v>49</v>
      </c>
      <c r="L6">
        <v>4452.66</v>
      </c>
    </row>
    <row r="7" spans="1:12" x14ac:dyDescent="0.3">
      <c r="A7" t="s">
        <v>50</v>
      </c>
      <c r="B7" t="s">
        <v>51</v>
      </c>
      <c r="C7" t="s">
        <v>14</v>
      </c>
      <c r="D7" t="s">
        <v>38</v>
      </c>
      <c r="E7" t="s">
        <v>52</v>
      </c>
      <c r="F7" t="s">
        <v>46</v>
      </c>
      <c r="G7" t="s">
        <v>47</v>
      </c>
      <c r="H7" t="s">
        <v>48</v>
      </c>
      <c r="I7">
        <v>16445</v>
      </c>
      <c r="J7">
        <v>7</v>
      </c>
      <c r="K7" t="s">
        <v>53</v>
      </c>
      <c r="L7">
        <v>1972.03</v>
      </c>
    </row>
    <row r="8" spans="1:12" x14ac:dyDescent="0.3">
      <c r="A8" t="s">
        <v>54</v>
      </c>
      <c r="B8" t="s">
        <v>55</v>
      </c>
      <c r="C8" t="s">
        <v>56</v>
      </c>
      <c r="D8" t="s">
        <v>38</v>
      </c>
      <c r="E8" t="s">
        <v>52</v>
      </c>
      <c r="F8" t="s">
        <v>25</v>
      </c>
      <c r="G8" t="s">
        <v>57</v>
      </c>
      <c r="H8" t="s">
        <v>58</v>
      </c>
      <c r="I8">
        <v>66960</v>
      </c>
      <c r="J8">
        <v>10</v>
      </c>
      <c r="K8" t="s">
        <v>53</v>
      </c>
      <c r="L8">
        <v>16705.88</v>
      </c>
    </row>
    <row r="9" spans="1:12" x14ac:dyDescent="0.3">
      <c r="A9" t="s">
        <v>59</v>
      </c>
      <c r="B9" t="s">
        <v>60</v>
      </c>
      <c r="C9" t="s">
        <v>31</v>
      </c>
      <c r="D9" t="s">
        <v>32</v>
      </c>
      <c r="E9" t="s">
        <v>45</v>
      </c>
      <c r="F9" t="s">
        <v>46</v>
      </c>
      <c r="G9" t="s">
        <v>47</v>
      </c>
      <c r="H9" t="s">
        <v>48</v>
      </c>
      <c r="I9">
        <v>22396</v>
      </c>
      <c r="J9">
        <v>9</v>
      </c>
      <c r="K9" t="s">
        <v>28</v>
      </c>
      <c r="L9">
        <v>3903.8</v>
      </c>
    </row>
    <row r="10" spans="1:12" x14ac:dyDescent="0.3">
      <c r="A10" t="s">
        <v>61</v>
      </c>
      <c r="B10" t="s">
        <v>62</v>
      </c>
      <c r="C10" t="s">
        <v>63</v>
      </c>
      <c r="D10" t="s">
        <v>38</v>
      </c>
      <c r="E10" t="s">
        <v>39</v>
      </c>
      <c r="F10" t="s">
        <v>25</v>
      </c>
      <c r="G10" t="s">
        <v>40</v>
      </c>
      <c r="H10" t="s">
        <v>41</v>
      </c>
      <c r="I10">
        <v>14061</v>
      </c>
      <c r="J10">
        <v>3</v>
      </c>
      <c r="K10" t="s">
        <v>20</v>
      </c>
      <c r="L10">
        <v>3724.12</v>
      </c>
    </row>
    <row r="11" spans="1:12" x14ac:dyDescent="0.3">
      <c r="A11" t="s">
        <v>64</v>
      </c>
      <c r="B11" t="s">
        <v>65</v>
      </c>
      <c r="C11" t="s">
        <v>66</v>
      </c>
      <c r="D11" t="s">
        <v>38</v>
      </c>
      <c r="E11" t="s">
        <v>67</v>
      </c>
      <c r="F11" t="s">
        <v>46</v>
      </c>
      <c r="G11" t="s">
        <v>47</v>
      </c>
      <c r="H11" t="s">
        <v>48</v>
      </c>
      <c r="I11">
        <v>45945</v>
      </c>
      <c r="J11">
        <v>10</v>
      </c>
      <c r="K11" t="s">
        <v>53</v>
      </c>
      <c r="L11">
        <v>8964.8700000000008</v>
      </c>
    </row>
    <row r="12" spans="1:12" x14ac:dyDescent="0.3">
      <c r="A12" t="s">
        <v>68</v>
      </c>
      <c r="B12" t="s">
        <v>69</v>
      </c>
      <c r="C12" t="s">
        <v>44</v>
      </c>
      <c r="D12" t="s">
        <v>32</v>
      </c>
      <c r="E12" t="s">
        <v>33</v>
      </c>
      <c r="F12" t="s">
        <v>17</v>
      </c>
      <c r="G12" t="s">
        <v>18</v>
      </c>
      <c r="H12" t="s">
        <v>19</v>
      </c>
      <c r="I12">
        <v>36004</v>
      </c>
      <c r="J12">
        <v>10</v>
      </c>
      <c r="K12" t="s">
        <v>34</v>
      </c>
      <c r="L12">
        <v>7858.68</v>
      </c>
    </row>
    <row r="13" spans="1:12" x14ac:dyDescent="0.3">
      <c r="A13" t="s">
        <v>70</v>
      </c>
      <c r="B13" t="s">
        <v>71</v>
      </c>
      <c r="C13" t="s">
        <v>72</v>
      </c>
      <c r="D13" t="s">
        <v>15</v>
      </c>
      <c r="E13" t="s">
        <v>73</v>
      </c>
      <c r="F13" t="s">
        <v>25</v>
      </c>
      <c r="G13" t="s">
        <v>26</v>
      </c>
      <c r="H13" t="s">
        <v>27</v>
      </c>
      <c r="I13">
        <v>12137</v>
      </c>
      <c r="J13">
        <v>3</v>
      </c>
      <c r="K13" t="s">
        <v>34</v>
      </c>
      <c r="L13">
        <v>2959.87</v>
      </c>
    </row>
    <row r="14" spans="1:12" x14ac:dyDescent="0.3">
      <c r="A14" t="s">
        <v>74</v>
      </c>
      <c r="B14" t="s">
        <v>75</v>
      </c>
      <c r="C14" t="s">
        <v>31</v>
      </c>
      <c r="D14" t="s">
        <v>38</v>
      </c>
      <c r="E14" t="s">
        <v>67</v>
      </c>
      <c r="F14" t="s">
        <v>17</v>
      </c>
      <c r="G14" t="s">
        <v>76</v>
      </c>
      <c r="H14" t="s">
        <v>77</v>
      </c>
      <c r="I14">
        <v>1713</v>
      </c>
      <c r="J14">
        <v>3</v>
      </c>
      <c r="K14" t="s">
        <v>49</v>
      </c>
      <c r="L14">
        <v>222.67</v>
      </c>
    </row>
    <row r="15" spans="1:12" x14ac:dyDescent="0.3">
      <c r="A15" t="s">
        <v>78</v>
      </c>
      <c r="B15" t="s">
        <v>79</v>
      </c>
      <c r="C15" t="s">
        <v>44</v>
      </c>
      <c r="D15" t="s">
        <v>38</v>
      </c>
      <c r="E15" t="s">
        <v>52</v>
      </c>
      <c r="F15" t="s">
        <v>17</v>
      </c>
      <c r="G15" t="s">
        <v>18</v>
      </c>
      <c r="H15" t="s">
        <v>19</v>
      </c>
      <c r="I15">
        <v>32314</v>
      </c>
      <c r="J15">
        <v>7</v>
      </c>
      <c r="K15" t="s">
        <v>28</v>
      </c>
      <c r="L15">
        <v>6233.33</v>
      </c>
    </row>
    <row r="16" spans="1:12" x14ac:dyDescent="0.3">
      <c r="A16" t="s">
        <v>80</v>
      </c>
      <c r="B16" t="s">
        <v>81</v>
      </c>
      <c r="C16" t="s">
        <v>44</v>
      </c>
      <c r="D16" t="s">
        <v>23</v>
      </c>
      <c r="E16" t="s">
        <v>82</v>
      </c>
      <c r="F16" t="s">
        <v>17</v>
      </c>
      <c r="G16" t="s">
        <v>18</v>
      </c>
      <c r="H16" t="s">
        <v>19</v>
      </c>
      <c r="I16">
        <v>65103</v>
      </c>
      <c r="J16">
        <v>9</v>
      </c>
      <c r="K16" t="s">
        <v>49</v>
      </c>
      <c r="L16">
        <v>10681.66</v>
      </c>
    </row>
    <row r="17" spans="1:12" x14ac:dyDescent="0.3">
      <c r="A17" t="s">
        <v>83</v>
      </c>
      <c r="B17" t="s">
        <v>84</v>
      </c>
      <c r="C17" t="s">
        <v>14</v>
      </c>
      <c r="D17" t="s">
        <v>15</v>
      </c>
      <c r="E17" t="s">
        <v>16</v>
      </c>
      <c r="F17" t="s">
        <v>17</v>
      </c>
      <c r="G17" t="s">
        <v>76</v>
      </c>
      <c r="H17" t="s">
        <v>77</v>
      </c>
      <c r="I17">
        <v>40658</v>
      </c>
      <c r="J17">
        <v>8</v>
      </c>
      <c r="K17" t="s">
        <v>49</v>
      </c>
      <c r="L17">
        <v>6102.48</v>
      </c>
    </row>
    <row r="18" spans="1:12" x14ac:dyDescent="0.3">
      <c r="A18" t="s">
        <v>85</v>
      </c>
      <c r="B18" t="s">
        <v>86</v>
      </c>
      <c r="C18" t="s">
        <v>44</v>
      </c>
      <c r="D18" t="s">
        <v>15</v>
      </c>
      <c r="E18" t="s">
        <v>73</v>
      </c>
      <c r="F18" t="s">
        <v>46</v>
      </c>
      <c r="G18" t="s">
        <v>87</v>
      </c>
      <c r="H18" t="s">
        <v>88</v>
      </c>
      <c r="I18">
        <v>50447</v>
      </c>
      <c r="J18">
        <v>10</v>
      </c>
      <c r="K18" t="s">
        <v>34</v>
      </c>
      <c r="L18">
        <v>6815.05</v>
      </c>
    </row>
    <row r="19" spans="1:12" x14ac:dyDescent="0.3">
      <c r="A19" t="s">
        <v>89</v>
      </c>
      <c r="B19" t="s">
        <v>90</v>
      </c>
      <c r="C19" t="s">
        <v>91</v>
      </c>
      <c r="D19" t="s">
        <v>38</v>
      </c>
      <c r="E19" t="s">
        <v>39</v>
      </c>
      <c r="F19" t="s">
        <v>17</v>
      </c>
      <c r="G19" t="s">
        <v>76</v>
      </c>
      <c r="H19" t="s">
        <v>77</v>
      </c>
      <c r="I19">
        <v>43827</v>
      </c>
      <c r="J19">
        <v>6</v>
      </c>
      <c r="K19" t="s">
        <v>28</v>
      </c>
      <c r="L19">
        <v>10731.96</v>
      </c>
    </row>
    <row r="20" spans="1:12" x14ac:dyDescent="0.3">
      <c r="A20" t="s">
        <v>92</v>
      </c>
      <c r="B20" t="s">
        <v>93</v>
      </c>
      <c r="C20" t="s">
        <v>72</v>
      </c>
      <c r="D20" t="s">
        <v>32</v>
      </c>
      <c r="E20" t="s">
        <v>45</v>
      </c>
      <c r="F20" t="s">
        <v>46</v>
      </c>
      <c r="G20" t="s">
        <v>94</v>
      </c>
      <c r="H20" t="s">
        <v>95</v>
      </c>
      <c r="I20">
        <v>78040</v>
      </c>
      <c r="J20">
        <v>9</v>
      </c>
      <c r="K20" t="s">
        <v>34</v>
      </c>
      <c r="L20">
        <v>7834.96</v>
      </c>
    </row>
    <row r="21" spans="1:12" x14ac:dyDescent="0.3">
      <c r="A21" t="s">
        <v>96</v>
      </c>
      <c r="B21" t="s">
        <v>97</v>
      </c>
      <c r="C21" t="s">
        <v>66</v>
      </c>
      <c r="D21" t="s">
        <v>38</v>
      </c>
      <c r="E21" t="s">
        <v>52</v>
      </c>
      <c r="F21" t="s">
        <v>46</v>
      </c>
      <c r="G21" t="s">
        <v>94</v>
      </c>
      <c r="H21" t="s">
        <v>95</v>
      </c>
      <c r="I21">
        <v>41230</v>
      </c>
      <c r="J21">
        <v>6</v>
      </c>
      <c r="K21" t="s">
        <v>34</v>
      </c>
      <c r="L21">
        <v>5990.91</v>
      </c>
    </row>
    <row r="22" spans="1:12" x14ac:dyDescent="0.3">
      <c r="A22" t="s">
        <v>98</v>
      </c>
      <c r="B22" t="s">
        <v>99</v>
      </c>
      <c r="C22" t="s">
        <v>66</v>
      </c>
      <c r="D22" t="s">
        <v>15</v>
      </c>
      <c r="E22" t="s">
        <v>73</v>
      </c>
      <c r="F22" t="s">
        <v>25</v>
      </c>
      <c r="G22" t="s">
        <v>40</v>
      </c>
      <c r="H22" t="s">
        <v>41</v>
      </c>
      <c r="I22">
        <v>61563</v>
      </c>
      <c r="J22">
        <v>5</v>
      </c>
      <c r="K22" t="s">
        <v>34</v>
      </c>
      <c r="L22">
        <v>13300.04</v>
      </c>
    </row>
    <row r="23" spans="1:12" x14ac:dyDescent="0.3">
      <c r="A23" t="s">
        <v>100</v>
      </c>
      <c r="B23" t="s">
        <v>101</v>
      </c>
      <c r="C23" t="s">
        <v>44</v>
      </c>
      <c r="D23" t="s">
        <v>38</v>
      </c>
      <c r="E23" t="s">
        <v>52</v>
      </c>
      <c r="F23" t="s">
        <v>17</v>
      </c>
      <c r="G23" t="s">
        <v>18</v>
      </c>
      <c r="H23" t="s">
        <v>19</v>
      </c>
      <c r="I23">
        <v>48741</v>
      </c>
      <c r="J23">
        <v>10</v>
      </c>
      <c r="K23" t="s">
        <v>49</v>
      </c>
      <c r="L23">
        <v>4911.53</v>
      </c>
    </row>
    <row r="24" spans="1:12" x14ac:dyDescent="0.3">
      <c r="A24" t="s">
        <v>102</v>
      </c>
      <c r="B24" t="s">
        <v>103</v>
      </c>
      <c r="C24" t="s">
        <v>72</v>
      </c>
      <c r="D24" t="s">
        <v>32</v>
      </c>
      <c r="E24" t="s">
        <v>45</v>
      </c>
      <c r="F24" t="s">
        <v>17</v>
      </c>
      <c r="G24" t="s">
        <v>104</v>
      </c>
      <c r="H24" t="s">
        <v>105</v>
      </c>
      <c r="I24">
        <v>21133</v>
      </c>
      <c r="J24">
        <v>4</v>
      </c>
      <c r="K24" t="s">
        <v>34</v>
      </c>
      <c r="L24">
        <v>3996.61</v>
      </c>
    </row>
    <row r="25" spans="1:12" x14ac:dyDescent="0.3">
      <c r="A25" t="s">
        <v>106</v>
      </c>
      <c r="B25" t="s">
        <v>107</v>
      </c>
      <c r="C25" t="s">
        <v>14</v>
      </c>
      <c r="D25" t="s">
        <v>23</v>
      </c>
      <c r="E25" t="s">
        <v>24</v>
      </c>
      <c r="F25" t="s">
        <v>46</v>
      </c>
      <c r="G25" t="s">
        <v>47</v>
      </c>
      <c r="H25" t="s">
        <v>48</v>
      </c>
      <c r="I25">
        <v>54478</v>
      </c>
      <c r="J25">
        <v>6</v>
      </c>
      <c r="K25" t="s">
        <v>20</v>
      </c>
      <c r="L25">
        <v>13003.11</v>
      </c>
    </row>
    <row r="26" spans="1:12" x14ac:dyDescent="0.3">
      <c r="A26" t="s">
        <v>108</v>
      </c>
      <c r="B26" t="s">
        <v>109</v>
      </c>
      <c r="C26" t="s">
        <v>91</v>
      </c>
      <c r="D26" t="s">
        <v>32</v>
      </c>
      <c r="E26" t="s">
        <v>33</v>
      </c>
      <c r="F26" t="s">
        <v>17</v>
      </c>
      <c r="G26" t="s">
        <v>76</v>
      </c>
      <c r="H26" t="s">
        <v>77</v>
      </c>
      <c r="I26">
        <v>9761</v>
      </c>
      <c r="J26">
        <v>3</v>
      </c>
      <c r="K26" t="s">
        <v>20</v>
      </c>
      <c r="L26">
        <v>1522.74</v>
      </c>
    </row>
    <row r="27" spans="1:12" x14ac:dyDescent="0.3">
      <c r="A27" t="s">
        <v>110</v>
      </c>
      <c r="B27" t="s">
        <v>111</v>
      </c>
      <c r="C27" t="s">
        <v>91</v>
      </c>
      <c r="D27" t="s">
        <v>38</v>
      </c>
      <c r="E27" t="s">
        <v>39</v>
      </c>
      <c r="F27" t="s">
        <v>46</v>
      </c>
      <c r="G27" t="s">
        <v>94</v>
      </c>
      <c r="H27" t="s">
        <v>95</v>
      </c>
      <c r="I27">
        <v>67807</v>
      </c>
      <c r="J27">
        <v>7</v>
      </c>
      <c r="K27" t="s">
        <v>28</v>
      </c>
      <c r="L27">
        <v>10467.02</v>
      </c>
    </row>
    <row r="28" spans="1:12" x14ac:dyDescent="0.3">
      <c r="A28" t="s">
        <v>112</v>
      </c>
      <c r="B28" t="s">
        <v>113</v>
      </c>
      <c r="C28" t="s">
        <v>72</v>
      </c>
      <c r="D28" t="s">
        <v>15</v>
      </c>
      <c r="E28" t="s">
        <v>16</v>
      </c>
      <c r="F28" t="s">
        <v>46</v>
      </c>
      <c r="G28" t="s">
        <v>94</v>
      </c>
      <c r="H28" t="s">
        <v>95</v>
      </c>
      <c r="I28">
        <v>33451</v>
      </c>
      <c r="J28">
        <v>5</v>
      </c>
      <c r="K28" t="s">
        <v>34</v>
      </c>
      <c r="L28">
        <v>5343.79</v>
      </c>
    </row>
    <row r="29" spans="1:12" x14ac:dyDescent="0.3">
      <c r="A29" t="s">
        <v>114</v>
      </c>
      <c r="B29" t="s">
        <v>115</v>
      </c>
      <c r="C29" t="s">
        <v>72</v>
      </c>
      <c r="D29" t="s">
        <v>32</v>
      </c>
      <c r="E29" t="s">
        <v>116</v>
      </c>
      <c r="F29" t="s">
        <v>17</v>
      </c>
      <c r="G29" t="s">
        <v>104</v>
      </c>
      <c r="H29" t="s">
        <v>105</v>
      </c>
      <c r="I29">
        <v>14220</v>
      </c>
      <c r="J29">
        <v>8</v>
      </c>
      <c r="K29" t="s">
        <v>28</v>
      </c>
      <c r="L29">
        <v>3743.48</v>
      </c>
    </row>
    <row r="30" spans="1:12" x14ac:dyDescent="0.3">
      <c r="A30" t="s">
        <v>117</v>
      </c>
      <c r="B30" t="s">
        <v>118</v>
      </c>
      <c r="C30" t="s">
        <v>72</v>
      </c>
      <c r="D30" t="s">
        <v>38</v>
      </c>
      <c r="E30" t="s">
        <v>39</v>
      </c>
      <c r="F30" t="s">
        <v>25</v>
      </c>
      <c r="G30" t="s">
        <v>26</v>
      </c>
      <c r="H30" t="s">
        <v>27</v>
      </c>
      <c r="I30">
        <v>70693</v>
      </c>
      <c r="J30">
        <v>3</v>
      </c>
      <c r="K30" t="s">
        <v>53</v>
      </c>
      <c r="L30">
        <v>6773.02</v>
      </c>
    </row>
    <row r="31" spans="1:12" x14ac:dyDescent="0.3">
      <c r="A31" t="s">
        <v>119</v>
      </c>
      <c r="B31" t="s">
        <v>120</v>
      </c>
      <c r="C31" t="s">
        <v>121</v>
      </c>
      <c r="D31" t="s">
        <v>23</v>
      </c>
      <c r="E31" t="s">
        <v>24</v>
      </c>
      <c r="F31" t="s">
        <v>25</v>
      </c>
      <c r="G31" t="s">
        <v>57</v>
      </c>
      <c r="H31" t="s">
        <v>58</v>
      </c>
      <c r="I31">
        <v>43964</v>
      </c>
      <c r="J31">
        <v>2</v>
      </c>
      <c r="K31" t="s">
        <v>28</v>
      </c>
      <c r="L31">
        <v>4299.1099999999997</v>
      </c>
    </row>
    <row r="32" spans="1:12" x14ac:dyDescent="0.3">
      <c r="A32" t="s">
        <v>122</v>
      </c>
      <c r="B32" t="s">
        <v>123</v>
      </c>
      <c r="C32" t="s">
        <v>31</v>
      </c>
      <c r="D32" t="s">
        <v>15</v>
      </c>
      <c r="E32" t="s">
        <v>73</v>
      </c>
      <c r="F32" t="s">
        <v>46</v>
      </c>
      <c r="G32" t="s">
        <v>47</v>
      </c>
      <c r="H32" t="s">
        <v>48</v>
      </c>
      <c r="I32">
        <v>72443</v>
      </c>
      <c r="J32">
        <v>1</v>
      </c>
      <c r="K32" t="s">
        <v>28</v>
      </c>
      <c r="L32">
        <v>8374.18</v>
      </c>
    </row>
    <row r="33" spans="1:12" x14ac:dyDescent="0.3">
      <c r="A33" t="s">
        <v>124</v>
      </c>
      <c r="B33" t="s">
        <v>125</v>
      </c>
      <c r="C33" t="s">
        <v>31</v>
      </c>
      <c r="D33" t="s">
        <v>38</v>
      </c>
      <c r="E33" t="s">
        <v>39</v>
      </c>
      <c r="F33" t="s">
        <v>17</v>
      </c>
      <c r="G33" t="s">
        <v>76</v>
      </c>
      <c r="H33" t="s">
        <v>77</v>
      </c>
      <c r="I33">
        <v>29945</v>
      </c>
      <c r="J33">
        <v>1</v>
      </c>
      <c r="K33" t="s">
        <v>28</v>
      </c>
      <c r="L33">
        <v>4787.38</v>
      </c>
    </row>
    <row r="34" spans="1:12" x14ac:dyDescent="0.3">
      <c r="A34" t="s">
        <v>126</v>
      </c>
      <c r="B34" t="s">
        <v>115</v>
      </c>
      <c r="C34" t="s">
        <v>72</v>
      </c>
      <c r="D34" t="s">
        <v>32</v>
      </c>
      <c r="E34" t="s">
        <v>33</v>
      </c>
      <c r="F34" t="s">
        <v>46</v>
      </c>
      <c r="G34" t="s">
        <v>47</v>
      </c>
      <c r="H34" t="s">
        <v>48</v>
      </c>
      <c r="I34">
        <v>56305</v>
      </c>
      <c r="J34">
        <v>3</v>
      </c>
      <c r="K34" t="s">
        <v>28</v>
      </c>
      <c r="L34">
        <v>13420.19</v>
      </c>
    </row>
    <row r="35" spans="1:12" x14ac:dyDescent="0.3">
      <c r="A35" t="s">
        <v>127</v>
      </c>
      <c r="B35" t="s">
        <v>128</v>
      </c>
      <c r="C35" t="s">
        <v>14</v>
      </c>
      <c r="D35" t="s">
        <v>23</v>
      </c>
      <c r="E35" t="s">
        <v>129</v>
      </c>
      <c r="F35" t="s">
        <v>17</v>
      </c>
      <c r="G35" t="s">
        <v>18</v>
      </c>
      <c r="H35" t="s">
        <v>19</v>
      </c>
      <c r="I35">
        <v>17461</v>
      </c>
      <c r="J35">
        <v>10</v>
      </c>
      <c r="K35" t="s">
        <v>20</v>
      </c>
      <c r="L35">
        <v>2897.84</v>
      </c>
    </row>
    <row r="36" spans="1:12" x14ac:dyDescent="0.3">
      <c r="A36" t="s">
        <v>130</v>
      </c>
      <c r="B36" t="s">
        <v>131</v>
      </c>
      <c r="C36" t="s">
        <v>14</v>
      </c>
      <c r="D36" t="s">
        <v>23</v>
      </c>
      <c r="E36" t="s">
        <v>24</v>
      </c>
      <c r="F36" t="s">
        <v>25</v>
      </c>
      <c r="G36" t="s">
        <v>26</v>
      </c>
      <c r="H36" t="s">
        <v>27</v>
      </c>
      <c r="I36">
        <v>61696</v>
      </c>
      <c r="J36">
        <v>7</v>
      </c>
      <c r="K36" t="s">
        <v>34</v>
      </c>
      <c r="L36">
        <v>4771.32</v>
      </c>
    </row>
    <row r="37" spans="1:12" x14ac:dyDescent="0.3">
      <c r="A37" t="s">
        <v>132</v>
      </c>
      <c r="B37" t="s">
        <v>133</v>
      </c>
      <c r="C37" t="s">
        <v>31</v>
      </c>
      <c r="D37" t="s">
        <v>38</v>
      </c>
      <c r="E37" t="s">
        <v>52</v>
      </c>
      <c r="F37" t="s">
        <v>46</v>
      </c>
      <c r="G37" t="s">
        <v>47</v>
      </c>
      <c r="H37" t="s">
        <v>48</v>
      </c>
      <c r="I37">
        <v>25408</v>
      </c>
      <c r="J37">
        <v>9</v>
      </c>
      <c r="K37" t="s">
        <v>20</v>
      </c>
      <c r="L37">
        <v>6261.98</v>
      </c>
    </row>
    <row r="38" spans="1:12" x14ac:dyDescent="0.3">
      <c r="A38" t="s">
        <v>134</v>
      </c>
      <c r="B38" t="s">
        <v>135</v>
      </c>
      <c r="C38" t="s">
        <v>66</v>
      </c>
      <c r="D38" t="s">
        <v>32</v>
      </c>
      <c r="E38" t="s">
        <v>33</v>
      </c>
      <c r="F38" t="s">
        <v>17</v>
      </c>
      <c r="G38" t="s">
        <v>76</v>
      </c>
      <c r="H38" t="s">
        <v>77</v>
      </c>
      <c r="I38">
        <v>34525</v>
      </c>
      <c r="J38">
        <v>4</v>
      </c>
      <c r="K38" t="s">
        <v>28</v>
      </c>
      <c r="L38">
        <v>6076.08</v>
      </c>
    </row>
    <row r="39" spans="1:12" x14ac:dyDescent="0.3">
      <c r="A39" t="s">
        <v>136</v>
      </c>
      <c r="B39" t="s">
        <v>137</v>
      </c>
      <c r="C39" t="s">
        <v>37</v>
      </c>
      <c r="D39" t="s">
        <v>32</v>
      </c>
      <c r="E39" t="s">
        <v>45</v>
      </c>
      <c r="F39" t="s">
        <v>25</v>
      </c>
      <c r="G39" t="s">
        <v>26</v>
      </c>
      <c r="H39" t="s">
        <v>27</v>
      </c>
      <c r="I39">
        <v>21885</v>
      </c>
      <c r="J39">
        <v>4</v>
      </c>
      <c r="K39" t="s">
        <v>20</v>
      </c>
      <c r="L39">
        <v>3603.51</v>
      </c>
    </row>
    <row r="40" spans="1:12" x14ac:dyDescent="0.3">
      <c r="A40" t="s">
        <v>138</v>
      </c>
      <c r="B40" t="s">
        <v>139</v>
      </c>
      <c r="C40" t="s">
        <v>91</v>
      </c>
      <c r="D40" t="s">
        <v>23</v>
      </c>
      <c r="E40" t="s">
        <v>82</v>
      </c>
      <c r="F40" t="s">
        <v>46</v>
      </c>
      <c r="G40" t="s">
        <v>87</v>
      </c>
      <c r="H40" t="s">
        <v>88</v>
      </c>
      <c r="I40">
        <v>17100</v>
      </c>
      <c r="J40">
        <v>2</v>
      </c>
      <c r="K40" t="s">
        <v>28</v>
      </c>
      <c r="L40">
        <v>1699.21</v>
      </c>
    </row>
    <row r="41" spans="1:12" x14ac:dyDescent="0.3">
      <c r="A41" t="s">
        <v>140</v>
      </c>
      <c r="B41" t="s">
        <v>141</v>
      </c>
      <c r="C41" t="s">
        <v>37</v>
      </c>
      <c r="D41" t="s">
        <v>38</v>
      </c>
      <c r="E41" t="s">
        <v>67</v>
      </c>
      <c r="F41" t="s">
        <v>25</v>
      </c>
      <c r="G41" t="s">
        <v>40</v>
      </c>
      <c r="H41" t="s">
        <v>41</v>
      </c>
      <c r="I41">
        <v>52243</v>
      </c>
      <c r="J41">
        <v>7</v>
      </c>
      <c r="K41" t="s">
        <v>34</v>
      </c>
      <c r="L41">
        <v>13263.44</v>
      </c>
    </row>
    <row r="42" spans="1:12" x14ac:dyDescent="0.3">
      <c r="A42" t="s">
        <v>142</v>
      </c>
      <c r="B42" t="s">
        <v>143</v>
      </c>
      <c r="C42" t="s">
        <v>72</v>
      </c>
      <c r="D42" t="s">
        <v>23</v>
      </c>
      <c r="E42" t="s">
        <v>129</v>
      </c>
      <c r="F42" t="s">
        <v>25</v>
      </c>
      <c r="G42" t="s">
        <v>26</v>
      </c>
      <c r="H42" t="s">
        <v>27</v>
      </c>
      <c r="I42">
        <v>64196</v>
      </c>
      <c r="J42">
        <v>2</v>
      </c>
      <c r="K42" t="s">
        <v>53</v>
      </c>
      <c r="L42">
        <v>6694.5</v>
      </c>
    </row>
    <row r="43" spans="1:12" x14ac:dyDescent="0.3">
      <c r="A43" t="s">
        <v>144</v>
      </c>
      <c r="B43" t="s">
        <v>145</v>
      </c>
      <c r="C43" t="s">
        <v>121</v>
      </c>
      <c r="D43" t="s">
        <v>32</v>
      </c>
      <c r="E43" t="s">
        <v>116</v>
      </c>
      <c r="F43" t="s">
        <v>46</v>
      </c>
      <c r="G43" t="s">
        <v>94</v>
      </c>
      <c r="H43" t="s">
        <v>95</v>
      </c>
      <c r="I43">
        <v>33488</v>
      </c>
      <c r="J43">
        <v>6</v>
      </c>
      <c r="K43" t="s">
        <v>34</v>
      </c>
      <c r="L43">
        <v>3372.96</v>
      </c>
    </row>
    <row r="44" spans="1:12" x14ac:dyDescent="0.3">
      <c r="A44" t="s">
        <v>146</v>
      </c>
      <c r="B44" t="s">
        <v>147</v>
      </c>
      <c r="C44" t="s">
        <v>63</v>
      </c>
      <c r="D44" t="s">
        <v>32</v>
      </c>
      <c r="E44" t="s">
        <v>116</v>
      </c>
      <c r="F44" t="s">
        <v>25</v>
      </c>
      <c r="G44" t="s">
        <v>26</v>
      </c>
      <c r="H44" t="s">
        <v>27</v>
      </c>
      <c r="I44">
        <v>68813</v>
      </c>
      <c r="J44">
        <v>6</v>
      </c>
      <c r="K44" t="s">
        <v>53</v>
      </c>
      <c r="L44">
        <v>12039.43</v>
      </c>
    </row>
    <row r="45" spans="1:12" x14ac:dyDescent="0.3">
      <c r="A45" t="s">
        <v>148</v>
      </c>
      <c r="B45" t="s">
        <v>149</v>
      </c>
      <c r="C45" t="s">
        <v>121</v>
      </c>
      <c r="D45" t="s">
        <v>23</v>
      </c>
      <c r="E45" t="s">
        <v>82</v>
      </c>
      <c r="F45" t="s">
        <v>25</v>
      </c>
      <c r="G45" t="s">
        <v>26</v>
      </c>
      <c r="H45" t="s">
        <v>27</v>
      </c>
      <c r="I45">
        <v>71135</v>
      </c>
      <c r="J45">
        <v>7</v>
      </c>
      <c r="K45" t="s">
        <v>49</v>
      </c>
      <c r="L45">
        <v>8463.41</v>
      </c>
    </row>
    <row r="46" spans="1:12" x14ac:dyDescent="0.3">
      <c r="A46" t="s">
        <v>150</v>
      </c>
      <c r="B46" t="s">
        <v>151</v>
      </c>
      <c r="C46" t="s">
        <v>91</v>
      </c>
      <c r="D46" t="s">
        <v>38</v>
      </c>
      <c r="E46" t="s">
        <v>67</v>
      </c>
      <c r="F46" t="s">
        <v>17</v>
      </c>
      <c r="G46" t="s">
        <v>18</v>
      </c>
      <c r="H46" t="s">
        <v>19</v>
      </c>
      <c r="I46">
        <v>59659</v>
      </c>
      <c r="J46">
        <v>2</v>
      </c>
      <c r="K46" t="s">
        <v>49</v>
      </c>
      <c r="L46">
        <v>12298.21</v>
      </c>
    </row>
    <row r="47" spans="1:12" x14ac:dyDescent="0.3">
      <c r="A47" t="s">
        <v>152</v>
      </c>
      <c r="B47" t="s">
        <v>153</v>
      </c>
      <c r="C47" t="s">
        <v>63</v>
      </c>
      <c r="D47" t="s">
        <v>15</v>
      </c>
      <c r="E47" t="s">
        <v>154</v>
      </c>
      <c r="F47" t="s">
        <v>17</v>
      </c>
      <c r="G47" t="s">
        <v>76</v>
      </c>
      <c r="H47" t="s">
        <v>77</v>
      </c>
      <c r="I47">
        <v>4027</v>
      </c>
      <c r="J47">
        <v>6</v>
      </c>
      <c r="K47" t="s">
        <v>53</v>
      </c>
      <c r="L47">
        <v>608.17999999999995</v>
      </c>
    </row>
    <row r="48" spans="1:12" x14ac:dyDescent="0.3">
      <c r="A48" t="s">
        <v>155</v>
      </c>
      <c r="B48" t="s">
        <v>156</v>
      </c>
      <c r="C48" t="s">
        <v>56</v>
      </c>
      <c r="D48" t="s">
        <v>15</v>
      </c>
      <c r="E48" t="s">
        <v>16</v>
      </c>
      <c r="F48" t="s">
        <v>17</v>
      </c>
      <c r="G48" t="s">
        <v>76</v>
      </c>
      <c r="H48" t="s">
        <v>77</v>
      </c>
      <c r="I48">
        <v>20415</v>
      </c>
      <c r="J48">
        <v>5</v>
      </c>
      <c r="K48" t="s">
        <v>20</v>
      </c>
      <c r="L48">
        <v>3754.62</v>
      </c>
    </row>
    <row r="49" spans="1:12" x14ac:dyDescent="0.3">
      <c r="A49" t="s">
        <v>157</v>
      </c>
      <c r="B49" t="s">
        <v>158</v>
      </c>
      <c r="C49" t="s">
        <v>66</v>
      </c>
      <c r="D49" t="s">
        <v>38</v>
      </c>
      <c r="E49" t="s">
        <v>67</v>
      </c>
      <c r="F49" t="s">
        <v>46</v>
      </c>
      <c r="G49" t="s">
        <v>47</v>
      </c>
      <c r="H49" t="s">
        <v>48</v>
      </c>
      <c r="I49">
        <v>19150</v>
      </c>
      <c r="J49">
        <v>8</v>
      </c>
      <c r="K49" t="s">
        <v>34</v>
      </c>
      <c r="L49">
        <v>3776.13</v>
      </c>
    </row>
    <row r="50" spans="1:12" x14ac:dyDescent="0.3">
      <c r="A50" t="s">
        <v>159</v>
      </c>
      <c r="B50" t="s">
        <v>160</v>
      </c>
      <c r="C50" t="s">
        <v>44</v>
      </c>
      <c r="D50" t="s">
        <v>38</v>
      </c>
      <c r="E50" t="s">
        <v>39</v>
      </c>
      <c r="F50" t="s">
        <v>25</v>
      </c>
      <c r="G50" t="s">
        <v>40</v>
      </c>
      <c r="H50" t="s">
        <v>41</v>
      </c>
      <c r="I50">
        <v>56134</v>
      </c>
      <c r="J50">
        <v>10</v>
      </c>
      <c r="K50" t="s">
        <v>20</v>
      </c>
      <c r="L50">
        <v>7179.75</v>
      </c>
    </row>
    <row r="51" spans="1:12" x14ac:dyDescent="0.3">
      <c r="A51" t="s">
        <v>161</v>
      </c>
      <c r="B51" t="s">
        <v>162</v>
      </c>
      <c r="C51" t="s">
        <v>44</v>
      </c>
      <c r="D51" t="s">
        <v>15</v>
      </c>
      <c r="E51" t="s">
        <v>16</v>
      </c>
      <c r="F51" t="s">
        <v>17</v>
      </c>
      <c r="G51" t="s">
        <v>104</v>
      </c>
      <c r="H51" t="s">
        <v>105</v>
      </c>
      <c r="I51">
        <v>71881</v>
      </c>
      <c r="J51">
        <v>2</v>
      </c>
      <c r="K51" t="s">
        <v>28</v>
      </c>
      <c r="L51">
        <v>11678.57</v>
      </c>
    </row>
    <row r="52" spans="1:12" x14ac:dyDescent="0.3">
      <c r="A52" t="s">
        <v>163</v>
      </c>
      <c r="B52" t="s">
        <v>164</v>
      </c>
      <c r="C52" t="s">
        <v>63</v>
      </c>
      <c r="D52" t="s">
        <v>38</v>
      </c>
      <c r="E52" t="s">
        <v>39</v>
      </c>
      <c r="F52" t="s">
        <v>25</v>
      </c>
      <c r="G52" t="s">
        <v>40</v>
      </c>
      <c r="H52" t="s">
        <v>41</v>
      </c>
      <c r="I52">
        <v>23550</v>
      </c>
      <c r="J52">
        <v>10</v>
      </c>
      <c r="K52" t="s">
        <v>53</v>
      </c>
      <c r="L52">
        <v>5355.86</v>
      </c>
    </row>
    <row r="53" spans="1:12" x14ac:dyDescent="0.3">
      <c r="A53" t="s">
        <v>165</v>
      </c>
      <c r="B53" t="s">
        <v>166</v>
      </c>
      <c r="C53" t="s">
        <v>72</v>
      </c>
      <c r="D53" t="s">
        <v>38</v>
      </c>
      <c r="E53" t="s">
        <v>67</v>
      </c>
      <c r="F53" t="s">
        <v>17</v>
      </c>
      <c r="G53" t="s">
        <v>18</v>
      </c>
      <c r="H53" t="s">
        <v>19</v>
      </c>
      <c r="I53">
        <v>45243</v>
      </c>
      <c r="J53">
        <v>5</v>
      </c>
      <c r="K53" t="s">
        <v>28</v>
      </c>
      <c r="L53">
        <v>6001.71</v>
      </c>
    </row>
    <row r="54" spans="1:12" x14ac:dyDescent="0.3">
      <c r="A54" t="s">
        <v>167</v>
      </c>
      <c r="B54" t="s">
        <v>81</v>
      </c>
      <c r="C54" t="s">
        <v>44</v>
      </c>
      <c r="D54" t="s">
        <v>32</v>
      </c>
      <c r="E54" t="s">
        <v>45</v>
      </c>
      <c r="F54" t="s">
        <v>46</v>
      </c>
      <c r="G54" t="s">
        <v>87</v>
      </c>
      <c r="H54" t="s">
        <v>88</v>
      </c>
      <c r="I54">
        <v>33774</v>
      </c>
      <c r="J54">
        <v>5</v>
      </c>
      <c r="K54" t="s">
        <v>20</v>
      </c>
      <c r="L54">
        <v>4896.33</v>
      </c>
    </row>
    <row r="55" spans="1:12" x14ac:dyDescent="0.3">
      <c r="A55" t="s">
        <v>168</v>
      </c>
      <c r="B55" t="s">
        <v>101</v>
      </c>
      <c r="C55" t="s">
        <v>31</v>
      </c>
      <c r="D55" t="s">
        <v>38</v>
      </c>
      <c r="E55" t="s">
        <v>67</v>
      </c>
      <c r="F55" t="s">
        <v>46</v>
      </c>
      <c r="G55" t="s">
        <v>47</v>
      </c>
      <c r="H55" t="s">
        <v>48</v>
      </c>
      <c r="I55">
        <v>53928</v>
      </c>
      <c r="J55">
        <v>3</v>
      </c>
      <c r="K55" t="s">
        <v>49</v>
      </c>
      <c r="L55">
        <v>7899.22</v>
      </c>
    </row>
    <row r="56" spans="1:12" x14ac:dyDescent="0.3">
      <c r="A56" t="s">
        <v>169</v>
      </c>
      <c r="B56" t="s">
        <v>170</v>
      </c>
      <c r="C56" t="s">
        <v>66</v>
      </c>
      <c r="D56" t="s">
        <v>15</v>
      </c>
      <c r="E56" t="s">
        <v>16</v>
      </c>
      <c r="F56" t="s">
        <v>46</v>
      </c>
      <c r="G56" t="s">
        <v>94</v>
      </c>
      <c r="H56" t="s">
        <v>95</v>
      </c>
      <c r="I56">
        <v>41675</v>
      </c>
      <c r="J56">
        <v>3</v>
      </c>
      <c r="K56" t="s">
        <v>34</v>
      </c>
      <c r="L56">
        <v>6171.49</v>
      </c>
    </row>
    <row r="57" spans="1:12" x14ac:dyDescent="0.3">
      <c r="A57" t="s">
        <v>171</v>
      </c>
      <c r="B57" t="s">
        <v>172</v>
      </c>
      <c r="C57" t="s">
        <v>66</v>
      </c>
      <c r="D57" t="s">
        <v>32</v>
      </c>
      <c r="E57" t="s">
        <v>116</v>
      </c>
      <c r="F57" t="s">
        <v>17</v>
      </c>
      <c r="G57" t="s">
        <v>76</v>
      </c>
      <c r="H57" t="s">
        <v>77</v>
      </c>
      <c r="I57">
        <v>20881</v>
      </c>
      <c r="J57">
        <v>2</v>
      </c>
      <c r="K57" t="s">
        <v>28</v>
      </c>
      <c r="L57">
        <v>4520.1000000000004</v>
      </c>
    </row>
    <row r="58" spans="1:12" x14ac:dyDescent="0.3">
      <c r="A58" t="s">
        <v>173</v>
      </c>
      <c r="B58" t="s">
        <v>174</v>
      </c>
      <c r="C58" t="s">
        <v>91</v>
      </c>
      <c r="D58" t="s">
        <v>32</v>
      </c>
      <c r="E58" t="s">
        <v>33</v>
      </c>
      <c r="F58" t="s">
        <v>46</v>
      </c>
      <c r="G58" t="s">
        <v>94</v>
      </c>
      <c r="H58" t="s">
        <v>95</v>
      </c>
      <c r="I58">
        <v>47721</v>
      </c>
      <c r="J58">
        <v>10</v>
      </c>
      <c r="K58" t="s">
        <v>28</v>
      </c>
      <c r="L58">
        <v>11438.47</v>
      </c>
    </row>
    <row r="59" spans="1:12" x14ac:dyDescent="0.3">
      <c r="A59" t="s">
        <v>175</v>
      </c>
      <c r="B59" t="s">
        <v>176</v>
      </c>
      <c r="C59" t="s">
        <v>66</v>
      </c>
      <c r="D59" t="s">
        <v>23</v>
      </c>
      <c r="E59" t="s">
        <v>24</v>
      </c>
      <c r="F59" t="s">
        <v>17</v>
      </c>
      <c r="G59" t="s">
        <v>76</v>
      </c>
      <c r="H59" t="s">
        <v>77</v>
      </c>
      <c r="I59">
        <v>4003</v>
      </c>
      <c r="J59">
        <v>4</v>
      </c>
      <c r="K59" t="s">
        <v>28</v>
      </c>
      <c r="L59">
        <v>613.92999999999995</v>
      </c>
    </row>
    <row r="60" spans="1:12" x14ac:dyDescent="0.3">
      <c r="A60" t="s">
        <v>177</v>
      </c>
      <c r="B60" t="s">
        <v>178</v>
      </c>
      <c r="C60" t="s">
        <v>121</v>
      </c>
      <c r="D60" t="s">
        <v>15</v>
      </c>
      <c r="E60" t="s">
        <v>73</v>
      </c>
      <c r="F60" t="s">
        <v>17</v>
      </c>
      <c r="G60" t="s">
        <v>76</v>
      </c>
      <c r="H60" t="s">
        <v>77</v>
      </c>
      <c r="I60">
        <v>32437</v>
      </c>
      <c r="J60">
        <v>2</v>
      </c>
      <c r="K60" t="s">
        <v>53</v>
      </c>
      <c r="L60">
        <v>3379.48</v>
      </c>
    </row>
    <row r="61" spans="1:12" x14ac:dyDescent="0.3">
      <c r="A61" t="s">
        <v>179</v>
      </c>
      <c r="B61" t="s">
        <v>180</v>
      </c>
      <c r="C61" t="s">
        <v>56</v>
      </c>
      <c r="D61" t="s">
        <v>23</v>
      </c>
      <c r="E61" t="s">
        <v>82</v>
      </c>
      <c r="F61" t="s">
        <v>17</v>
      </c>
      <c r="G61" t="s">
        <v>104</v>
      </c>
      <c r="H61" t="s">
        <v>105</v>
      </c>
      <c r="I61">
        <v>28984</v>
      </c>
      <c r="J61">
        <v>7</v>
      </c>
      <c r="K61" t="s">
        <v>34</v>
      </c>
      <c r="L61">
        <v>3872.66</v>
      </c>
    </row>
    <row r="62" spans="1:12" x14ac:dyDescent="0.3">
      <c r="A62" t="s">
        <v>181</v>
      </c>
      <c r="B62" t="s">
        <v>182</v>
      </c>
      <c r="C62" t="s">
        <v>121</v>
      </c>
      <c r="D62" t="s">
        <v>38</v>
      </c>
      <c r="E62" t="s">
        <v>67</v>
      </c>
      <c r="F62" t="s">
        <v>46</v>
      </c>
      <c r="G62" t="s">
        <v>47</v>
      </c>
      <c r="H62" t="s">
        <v>48</v>
      </c>
      <c r="I62">
        <v>9755</v>
      </c>
      <c r="J62">
        <v>5</v>
      </c>
      <c r="K62" t="s">
        <v>20</v>
      </c>
      <c r="L62">
        <v>1731.58</v>
      </c>
    </row>
    <row r="63" spans="1:12" x14ac:dyDescent="0.3">
      <c r="A63" t="s">
        <v>183</v>
      </c>
      <c r="B63" t="s">
        <v>184</v>
      </c>
      <c r="C63" t="s">
        <v>37</v>
      </c>
      <c r="D63" t="s">
        <v>23</v>
      </c>
      <c r="E63" t="s">
        <v>129</v>
      </c>
      <c r="F63" t="s">
        <v>46</v>
      </c>
      <c r="G63" t="s">
        <v>47</v>
      </c>
      <c r="H63" t="s">
        <v>48</v>
      </c>
      <c r="I63">
        <v>22293</v>
      </c>
      <c r="J63">
        <v>9</v>
      </c>
      <c r="K63" t="s">
        <v>34</v>
      </c>
      <c r="L63">
        <v>3668.35</v>
      </c>
    </row>
    <row r="64" spans="1:12" x14ac:dyDescent="0.3">
      <c r="A64" t="s">
        <v>185</v>
      </c>
      <c r="B64" t="s">
        <v>186</v>
      </c>
      <c r="C64" t="s">
        <v>44</v>
      </c>
      <c r="D64" t="s">
        <v>38</v>
      </c>
      <c r="E64" t="s">
        <v>67</v>
      </c>
      <c r="F64" t="s">
        <v>46</v>
      </c>
      <c r="G64" t="s">
        <v>94</v>
      </c>
      <c r="H64" t="s">
        <v>95</v>
      </c>
      <c r="I64">
        <v>76117</v>
      </c>
      <c r="J64">
        <v>6</v>
      </c>
      <c r="K64" t="s">
        <v>49</v>
      </c>
      <c r="L64">
        <v>19329.62</v>
      </c>
    </row>
    <row r="65" spans="1:12" x14ac:dyDescent="0.3">
      <c r="A65" t="s">
        <v>187</v>
      </c>
      <c r="B65" t="s">
        <v>182</v>
      </c>
      <c r="C65" t="s">
        <v>91</v>
      </c>
      <c r="D65" t="s">
        <v>23</v>
      </c>
      <c r="E65" t="s">
        <v>82</v>
      </c>
      <c r="F65" t="s">
        <v>46</v>
      </c>
      <c r="G65" t="s">
        <v>94</v>
      </c>
      <c r="H65" t="s">
        <v>95</v>
      </c>
      <c r="I65">
        <v>43469</v>
      </c>
      <c r="J65">
        <v>1</v>
      </c>
      <c r="K65" t="s">
        <v>28</v>
      </c>
      <c r="L65">
        <v>4005.84</v>
      </c>
    </row>
    <row r="66" spans="1:12" x14ac:dyDescent="0.3">
      <c r="A66" t="s">
        <v>188</v>
      </c>
      <c r="B66" t="s">
        <v>189</v>
      </c>
      <c r="C66" t="s">
        <v>72</v>
      </c>
      <c r="D66" t="s">
        <v>38</v>
      </c>
      <c r="E66" t="s">
        <v>52</v>
      </c>
      <c r="F66" t="s">
        <v>17</v>
      </c>
      <c r="G66" t="s">
        <v>18</v>
      </c>
      <c r="H66" t="s">
        <v>19</v>
      </c>
      <c r="I66">
        <v>27468</v>
      </c>
      <c r="J66">
        <v>3</v>
      </c>
      <c r="K66" t="s">
        <v>34</v>
      </c>
      <c r="L66">
        <v>5459.26</v>
      </c>
    </row>
    <row r="67" spans="1:12" x14ac:dyDescent="0.3">
      <c r="A67" t="s">
        <v>190</v>
      </c>
      <c r="B67" t="s">
        <v>191</v>
      </c>
      <c r="C67" t="s">
        <v>66</v>
      </c>
      <c r="D67" t="s">
        <v>38</v>
      </c>
      <c r="E67" t="s">
        <v>52</v>
      </c>
      <c r="F67" t="s">
        <v>25</v>
      </c>
      <c r="G67" t="s">
        <v>57</v>
      </c>
      <c r="H67" t="s">
        <v>58</v>
      </c>
      <c r="I67">
        <v>9145</v>
      </c>
      <c r="J67">
        <v>10</v>
      </c>
      <c r="K67" t="s">
        <v>49</v>
      </c>
      <c r="L67">
        <v>2044.22</v>
      </c>
    </row>
    <row r="68" spans="1:12" x14ac:dyDescent="0.3">
      <c r="A68" t="s">
        <v>192</v>
      </c>
      <c r="B68" t="s">
        <v>123</v>
      </c>
      <c r="C68" t="s">
        <v>121</v>
      </c>
      <c r="D68" t="s">
        <v>23</v>
      </c>
      <c r="E68" t="s">
        <v>82</v>
      </c>
      <c r="F68" t="s">
        <v>17</v>
      </c>
      <c r="G68" t="s">
        <v>18</v>
      </c>
      <c r="H68" t="s">
        <v>19</v>
      </c>
      <c r="I68">
        <v>19266</v>
      </c>
      <c r="J68">
        <v>9</v>
      </c>
      <c r="K68" t="s">
        <v>34</v>
      </c>
      <c r="L68">
        <v>4151.43</v>
      </c>
    </row>
    <row r="69" spans="1:12" x14ac:dyDescent="0.3">
      <c r="A69" t="s">
        <v>193</v>
      </c>
      <c r="B69" t="s">
        <v>194</v>
      </c>
      <c r="C69" t="s">
        <v>121</v>
      </c>
      <c r="D69" t="s">
        <v>23</v>
      </c>
      <c r="E69" t="s">
        <v>82</v>
      </c>
      <c r="F69" t="s">
        <v>25</v>
      </c>
      <c r="G69" t="s">
        <v>40</v>
      </c>
      <c r="H69" t="s">
        <v>41</v>
      </c>
      <c r="I69">
        <v>57149</v>
      </c>
      <c r="J69">
        <v>3</v>
      </c>
      <c r="K69" t="s">
        <v>20</v>
      </c>
      <c r="L69">
        <v>10683.78</v>
      </c>
    </row>
    <row r="70" spans="1:12" x14ac:dyDescent="0.3">
      <c r="A70" t="s">
        <v>195</v>
      </c>
      <c r="B70" t="s">
        <v>196</v>
      </c>
      <c r="C70" t="s">
        <v>14</v>
      </c>
      <c r="D70" t="s">
        <v>32</v>
      </c>
      <c r="E70" t="s">
        <v>45</v>
      </c>
      <c r="F70" t="s">
        <v>25</v>
      </c>
      <c r="G70" t="s">
        <v>57</v>
      </c>
      <c r="H70" t="s">
        <v>58</v>
      </c>
      <c r="I70">
        <v>24011</v>
      </c>
      <c r="J70">
        <v>10</v>
      </c>
      <c r="K70" t="s">
        <v>53</v>
      </c>
      <c r="L70">
        <v>4591.83</v>
      </c>
    </row>
    <row r="71" spans="1:12" x14ac:dyDescent="0.3">
      <c r="A71" t="s">
        <v>197</v>
      </c>
      <c r="B71" t="s">
        <v>198</v>
      </c>
      <c r="C71" t="s">
        <v>14</v>
      </c>
      <c r="D71" t="s">
        <v>23</v>
      </c>
      <c r="E71" t="s">
        <v>82</v>
      </c>
      <c r="F71" t="s">
        <v>25</v>
      </c>
      <c r="G71" t="s">
        <v>40</v>
      </c>
      <c r="H71" t="s">
        <v>41</v>
      </c>
      <c r="I71">
        <v>76175</v>
      </c>
      <c r="J71">
        <v>9</v>
      </c>
      <c r="K71" t="s">
        <v>28</v>
      </c>
      <c r="L71">
        <v>5481.37</v>
      </c>
    </row>
    <row r="72" spans="1:12" x14ac:dyDescent="0.3">
      <c r="A72" t="s">
        <v>199</v>
      </c>
      <c r="B72" t="s">
        <v>200</v>
      </c>
      <c r="C72" t="s">
        <v>91</v>
      </c>
      <c r="D72" t="s">
        <v>23</v>
      </c>
      <c r="E72" t="s">
        <v>24</v>
      </c>
      <c r="F72" t="s">
        <v>17</v>
      </c>
      <c r="G72" t="s">
        <v>76</v>
      </c>
      <c r="H72" t="s">
        <v>77</v>
      </c>
      <c r="I72">
        <v>71213</v>
      </c>
      <c r="J72">
        <v>6</v>
      </c>
      <c r="K72" t="s">
        <v>49</v>
      </c>
      <c r="L72">
        <v>7358.89</v>
      </c>
    </row>
    <row r="73" spans="1:12" x14ac:dyDescent="0.3">
      <c r="A73" t="s">
        <v>201</v>
      </c>
      <c r="B73" t="s">
        <v>202</v>
      </c>
      <c r="C73" t="s">
        <v>91</v>
      </c>
      <c r="D73" t="s">
        <v>32</v>
      </c>
      <c r="E73" t="s">
        <v>33</v>
      </c>
      <c r="F73" t="s">
        <v>25</v>
      </c>
      <c r="G73" t="s">
        <v>40</v>
      </c>
      <c r="H73" t="s">
        <v>41</v>
      </c>
      <c r="I73">
        <v>40306</v>
      </c>
      <c r="J73">
        <v>7</v>
      </c>
      <c r="K73" t="s">
        <v>28</v>
      </c>
      <c r="L73">
        <v>3906.81</v>
      </c>
    </row>
    <row r="74" spans="1:12" x14ac:dyDescent="0.3">
      <c r="A74" t="s">
        <v>203</v>
      </c>
      <c r="B74" t="s">
        <v>204</v>
      </c>
      <c r="C74" t="s">
        <v>66</v>
      </c>
      <c r="D74" t="s">
        <v>38</v>
      </c>
      <c r="E74" t="s">
        <v>52</v>
      </c>
      <c r="F74" t="s">
        <v>46</v>
      </c>
      <c r="G74" t="s">
        <v>87</v>
      </c>
      <c r="H74" t="s">
        <v>88</v>
      </c>
      <c r="I74">
        <v>16464</v>
      </c>
      <c r="J74">
        <v>2</v>
      </c>
      <c r="K74" t="s">
        <v>53</v>
      </c>
      <c r="L74">
        <v>3552.04</v>
      </c>
    </row>
    <row r="75" spans="1:12" x14ac:dyDescent="0.3">
      <c r="A75" t="s">
        <v>205</v>
      </c>
      <c r="B75" t="s">
        <v>206</v>
      </c>
      <c r="C75" t="s">
        <v>121</v>
      </c>
      <c r="D75" t="s">
        <v>23</v>
      </c>
      <c r="E75" t="s">
        <v>82</v>
      </c>
      <c r="F75" t="s">
        <v>17</v>
      </c>
      <c r="G75" t="s">
        <v>18</v>
      </c>
      <c r="H75" t="s">
        <v>19</v>
      </c>
      <c r="I75">
        <v>58706</v>
      </c>
      <c r="J75">
        <v>10</v>
      </c>
      <c r="K75" t="s">
        <v>53</v>
      </c>
      <c r="L75">
        <v>14691.49</v>
      </c>
    </row>
    <row r="76" spans="1:12" x14ac:dyDescent="0.3">
      <c r="A76" t="s">
        <v>207</v>
      </c>
      <c r="B76" t="s">
        <v>208</v>
      </c>
      <c r="C76" t="s">
        <v>66</v>
      </c>
      <c r="D76" t="s">
        <v>23</v>
      </c>
      <c r="E76" t="s">
        <v>129</v>
      </c>
      <c r="F76" t="s">
        <v>25</v>
      </c>
      <c r="G76" t="s">
        <v>57</v>
      </c>
      <c r="H76" t="s">
        <v>58</v>
      </c>
      <c r="I76">
        <v>17196</v>
      </c>
      <c r="J76">
        <v>1</v>
      </c>
      <c r="K76" t="s">
        <v>34</v>
      </c>
      <c r="L76">
        <v>3392.57</v>
      </c>
    </row>
    <row r="77" spans="1:12" x14ac:dyDescent="0.3">
      <c r="A77" t="s">
        <v>209</v>
      </c>
      <c r="B77" t="s">
        <v>210</v>
      </c>
      <c r="C77" t="s">
        <v>121</v>
      </c>
      <c r="D77" t="s">
        <v>38</v>
      </c>
      <c r="E77" t="s">
        <v>39</v>
      </c>
      <c r="F77" t="s">
        <v>25</v>
      </c>
      <c r="G77" t="s">
        <v>26</v>
      </c>
      <c r="H77" t="s">
        <v>27</v>
      </c>
      <c r="I77">
        <v>13542</v>
      </c>
      <c r="J77">
        <v>8</v>
      </c>
      <c r="K77" t="s">
        <v>20</v>
      </c>
      <c r="L77">
        <v>2657.25</v>
      </c>
    </row>
    <row r="78" spans="1:12" x14ac:dyDescent="0.3">
      <c r="A78" t="s">
        <v>211</v>
      </c>
      <c r="B78" t="s">
        <v>212</v>
      </c>
      <c r="C78" t="s">
        <v>121</v>
      </c>
      <c r="D78" t="s">
        <v>32</v>
      </c>
      <c r="E78" t="s">
        <v>45</v>
      </c>
      <c r="F78" t="s">
        <v>46</v>
      </c>
      <c r="G78" t="s">
        <v>94</v>
      </c>
      <c r="H78" t="s">
        <v>95</v>
      </c>
      <c r="I78">
        <v>11235</v>
      </c>
      <c r="J78">
        <v>3</v>
      </c>
      <c r="K78" t="s">
        <v>20</v>
      </c>
      <c r="L78">
        <v>1316.84</v>
      </c>
    </row>
    <row r="79" spans="1:12" x14ac:dyDescent="0.3">
      <c r="A79" t="s">
        <v>213</v>
      </c>
      <c r="B79" t="s">
        <v>55</v>
      </c>
      <c r="C79" t="s">
        <v>37</v>
      </c>
      <c r="D79" t="s">
        <v>32</v>
      </c>
      <c r="E79" t="s">
        <v>45</v>
      </c>
      <c r="F79" t="s">
        <v>46</v>
      </c>
      <c r="G79" t="s">
        <v>94</v>
      </c>
      <c r="H79" t="s">
        <v>95</v>
      </c>
      <c r="I79">
        <v>23494</v>
      </c>
      <c r="J79">
        <v>7</v>
      </c>
      <c r="K79" t="s">
        <v>34</v>
      </c>
      <c r="L79">
        <v>5556.84</v>
      </c>
    </row>
    <row r="80" spans="1:12" x14ac:dyDescent="0.3">
      <c r="A80" t="s">
        <v>214</v>
      </c>
      <c r="B80" t="s">
        <v>215</v>
      </c>
      <c r="C80" t="s">
        <v>56</v>
      </c>
      <c r="D80" t="s">
        <v>38</v>
      </c>
      <c r="E80" t="s">
        <v>67</v>
      </c>
      <c r="F80" t="s">
        <v>17</v>
      </c>
      <c r="G80" t="s">
        <v>76</v>
      </c>
      <c r="H80" t="s">
        <v>77</v>
      </c>
      <c r="I80">
        <v>34674</v>
      </c>
      <c r="J80">
        <v>1</v>
      </c>
      <c r="K80" t="s">
        <v>49</v>
      </c>
      <c r="L80">
        <v>3330.19</v>
      </c>
    </row>
    <row r="81" spans="1:12" x14ac:dyDescent="0.3">
      <c r="A81" t="s">
        <v>216</v>
      </c>
      <c r="B81" t="s">
        <v>43</v>
      </c>
      <c r="C81" t="s">
        <v>91</v>
      </c>
      <c r="D81" t="s">
        <v>38</v>
      </c>
      <c r="E81" t="s">
        <v>39</v>
      </c>
      <c r="F81" t="s">
        <v>46</v>
      </c>
      <c r="G81" t="s">
        <v>47</v>
      </c>
      <c r="H81" t="s">
        <v>48</v>
      </c>
      <c r="I81">
        <v>9776</v>
      </c>
      <c r="J81">
        <v>5</v>
      </c>
      <c r="K81" t="s">
        <v>34</v>
      </c>
      <c r="L81">
        <v>1683.5</v>
      </c>
    </row>
    <row r="82" spans="1:12" x14ac:dyDescent="0.3">
      <c r="A82" t="s">
        <v>217</v>
      </c>
      <c r="B82" t="s">
        <v>218</v>
      </c>
      <c r="C82" t="s">
        <v>44</v>
      </c>
      <c r="D82" t="s">
        <v>23</v>
      </c>
      <c r="E82" t="s">
        <v>24</v>
      </c>
      <c r="F82" t="s">
        <v>17</v>
      </c>
      <c r="G82" t="s">
        <v>18</v>
      </c>
      <c r="H82" t="s">
        <v>19</v>
      </c>
      <c r="I82">
        <v>68479</v>
      </c>
      <c r="J82">
        <v>2</v>
      </c>
      <c r="K82" t="s">
        <v>34</v>
      </c>
      <c r="L82">
        <v>6082.39</v>
      </c>
    </row>
    <row r="83" spans="1:12" x14ac:dyDescent="0.3">
      <c r="A83" t="s">
        <v>219</v>
      </c>
      <c r="B83" t="s">
        <v>220</v>
      </c>
      <c r="C83" t="s">
        <v>44</v>
      </c>
      <c r="D83" t="s">
        <v>15</v>
      </c>
      <c r="E83" t="s">
        <v>154</v>
      </c>
      <c r="F83" t="s">
        <v>46</v>
      </c>
      <c r="G83" t="s">
        <v>94</v>
      </c>
      <c r="H83" t="s">
        <v>95</v>
      </c>
      <c r="I83">
        <v>14913</v>
      </c>
      <c r="J83">
        <v>10</v>
      </c>
      <c r="K83" t="s">
        <v>20</v>
      </c>
      <c r="L83">
        <v>1205.57</v>
      </c>
    </row>
    <row r="84" spans="1:12" x14ac:dyDescent="0.3">
      <c r="A84" t="s">
        <v>221</v>
      </c>
      <c r="B84" t="s">
        <v>222</v>
      </c>
      <c r="C84" t="s">
        <v>31</v>
      </c>
      <c r="D84" t="s">
        <v>32</v>
      </c>
      <c r="E84" t="s">
        <v>116</v>
      </c>
      <c r="F84" t="s">
        <v>17</v>
      </c>
      <c r="G84" t="s">
        <v>104</v>
      </c>
      <c r="H84" t="s">
        <v>105</v>
      </c>
      <c r="I84">
        <v>51482</v>
      </c>
      <c r="J84">
        <v>3</v>
      </c>
      <c r="K84" t="s">
        <v>20</v>
      </c>
      <c r="L84">
        <v>11747.54</v>
      </c>
    </row>
    <row r="85" spans="1:12" x14ac:dyDescent="0.3">
      <c r="A85" t="s">
        <v>223</v>
      </c>
      <c r="B85" t="s">
        <v>224</v>
      </c>
      <c r="C85" t="s">
        <v>31</v>
      </c>
      <c r="D85" t="s">
        <v>38</v>
      </c>
      <c r="E85" t="s">
        <v>52</v>
      </c>
      <c r="F85" t="s">
        <v>17</v>
      </c>
      <c r="G85" t="s">
        <v>18</v>
      </c>
      <c r="H85" t="s">
        <v>19</v>
      </c>
      <c r="I85">
        <v>1263</v>
      </c>
      <c r="J85">
        <v>9</v>
      </c>
      <c r="K85" t="s">
        <v>28</v>
      </c>
      <c r="L85">
        <v>182.92</v>
      </c>
    </row>
    <row r="86" spans="1:12" x14ac:dyDescent="0.3">
      <c r="A86" t="s">
        <v>225</v>
      </c>
      <c r="B86" t="s">
        <v>226</v>
      </c>
      <c r="C86" t="s">
        <v>91</v>
      </c>
      <c r="D86" t="s">
        <v>32</v>
      </c>
      <c r="E86" t="s">
        <v>45</v>
      </c>
      <c r="F86" t="s">
        <v>25</v>
      </c>
      <c r="G86" t="s">
        <v>26</v>
      </c>
      <c r="H86" t="s">
        <v>27</v>
      </c>
      <c r="I86">
        <v>53347</v>
      </c>
      <c r="J86">
        <v>10</v>
      </c>
      <c r="K86" t="s">
        <v>49</v>
      </c>
      <c r="L86">
        <v>11305.36</v>
      </c>
    </row>
    <row r="87" spans="1:12" x14ac:dyDescent="0.3">
      <c r="A87" t="s">
        <v>227</v>
      </c>
      <c r="B87" t="s">
        <v>81</v>
      </c>
      <c r="C87" t="s">
        <v>121</v>
      </c>
      <c r="D87" t="s">
        <v>38</v>
      </c>
      <c r="E87" t="s">
        <v>39</v>
      </c>
      <c r="F87" t="s">
        <v>46</v>
      </c>
      <c r="G87" t="s">
        <v>87</v>
      </c>
      <c r="H87" t="s">
        <v>88</v>
      </c>
      <c r="I87">
        <v>39840</v>
      </c>
      <c r="J87">
        <v>6</v>
      </c>
      <c r="K87" t="s">
        <v>34</v>
      </c>
      <c r="L87">
        <v>9809.8799999999992</v>
      </c>
    </row>
    <row r="88" spans="1:12" x14ac:dyDescent="0.3">
      <c r="A88" t="s">
        <v>228</v>
      </c>
      <c r="B88" t="s">
        <v>189</v>
      </c>
      <c r="C88" t="s">
        <v>63</v>
      </c>
      <c r="D88" t="s">
        <v>38</v>
      </c>
      <c r="E88" t="s">
        <v>39</v>
      </c>
      <c r="F88" t="s">
        <v>46</v>
      </c>
      <c r="G88" t="s">
        <v>87</v>
      </c>
      <c r="H88" t="s">
        <v>88</v>
      </c>
      <c r="I88">
        <v>44865</v>
      </c>
      <c r="J88">
        <v>2</v>
      </c>
      <c r="K88" t="s">
        <v>53</v>
      </c>
      <c r="L88">
        <v>8853.4699999999993</v>
      </c>
    </row>
    <row r="89" spans="1:12" x14ac:dyDescent="0.3">
      <c r="A89" t="s">
        <v>229</v>
      </c>
      <c r="B89" t="s">
        <v>230</v>
      </c>
      <c r="C89" t="s">
        <v>72</v>
      </c>
      <c r="D89" t="s">
        <v>32</v>
      </c>
      <c r="E89" t="s">
        <v>45</v>
      </c>
      <c r="F89" t="s">
        <v>17</v>
      </c>
      <c r="G89" t="s">
        <v>18</v>
      </c>
      <c r="H89" t="s">
        <v>19</v>
      </c>
      <c r="I89">
        <v>23832</v>
      </c>
      <c r="J89">
        <v>4</v>
      </c>
      <c r="K89" t="s">
        <v>49</v>
      </c>
      <c r="L89">
        <v>3766.43</v>
      </c>
    </row>
    <row r="90" spans="1:12" x14ac:dyDescent="0.3">
      <c r="A90" t="s">
        <v>231</v>
      </c>
      <c r="B90" t="s">
        <v>232</v>
      </c>
      <c r="C90" t="s">
        <v>14</v>
      </c>
      <c r="D90" t="s">
        <v>32</v>
      </c>
      <c r="E90" t="s">
        <v>33</v>
      </c>
      <c r="F90" t="s">
        <v>46</v>
      </c>
      <c r="G90" t="s">
        <v>94</v>
      </c>
      <c r="H90" t="s">
        <v>95</v>
      </c>
      <c r="I90">
        <v>30264</v>
      </c>
      <c r="J90">
        <v>9</v>
      </c>
      <c r="K90" t="s">
        <v>49</v>
      </c>
      <c r="L90">
        <v>3821.4</v>
      </c>
    </row>
    <row r="91" spans="1:12" x14ac:dyDescent="0.3">
      <c r="A91" t="s">
        <v>233</v>
      </c>
      <c r="B91" t="s">
        <v>234</v>
      </c>
      <c r="C91" t="s">
        <v>66</v>
      </c>
      <c r="D91" t="s">
        <v>23</v>
      </c>
      <c r="E91" t="s">
        <v>24</v>
      </c>
      <c r="F91" t="s">
        <v>46</v>
      </c>
      <c r="G91" t="s">
        <v>47</v>
      </c>
      <c r="H91" t="s">
        <v>48</v>
      </c>
      <c r="I91">
        <v>12024</v>
      </c>
      <c r="J91">
        <v>9</v>
      </c>
      <c r="K91" t="s">
        <v>20</v>
      </c>
      <c r="L91">
        <v>1351.98</v>
      </c>
    </row>
    <row r="92" spans="1:12" x14ac:dyDescent="0.3">
      <c r="A92" t="s">
        <v>235</v>
      </c>
      <c r="B92" t="s">
        <v>236</v>
      </c>
      <c r="C92" t="s">
        <v>72</v>
      </c>
      <c r="D92" t="s">
        <v>15</v>
      </c>
      <c r="E92" t="s">
        <v>154</v>
      </c>
      <c r="F92" t="s">
        <v>25</v>
      </c>
      <c r="G92" t="s">
        <v>26</v>
      </c>
      <c r="H92" t="s">
        <v>27</v>
      </c>
      <c r="I92">
        <v>30709</v>
      </c>
      <c r="J92">
        <v>5</v>
      </c>
      <c r="K92" t="s">
        <v>20</v>
      </c>
      <c r="L92">
        <v>8073.89</v>
      </c>
    </row>
    <row r="93" spans="1:12" x14ac:dyDescent="0.3">
      <c r="A93" t="s">
        <v>237</v>
      </c>
      <c r="B93" t="s">
        <v>238</v>
      </c>
      <c r="C93" t="s">
        <v>14</v>
      </c>
      <c r="D93" t="s">
        <v>38</v>
      </c>
      <c r="E93" t="s">
        <v>67</v>
      </c>
      <c r="F93" t="s">
        <v>25</v>
      </c>
      <c r="G93" t="s">
        <v>26</v>
      </c>
      <c r="H93" t="s">
        <v>27</v>
      </c>
      <c r="I93">
        <v>23798</v>
      </c>
      <c r="J93">
        <v>9</v>
      </c>
      <c r="K93" t="s">
        <v>34</v>
      </c>
      <c r="L93">
        <v>4538.2700000000004</v>
      </c>
    </row>
    <row r="94" spans="1:12" x14ac:dyDescent="0.3">
      <c r="A94" t="s">
        <v>239</v>
      </c>
      <c r="B94" t="s">
        <v>240</v>
      </c>
      <c r="C94" t="s">
        <v>56</v>
      </c>
      <c r="D94" t="s">
        <v>15</v>
      </c>
      <c r="E94" t="s">
        <v>73</v>
      </c>
      <c r="F94" t="s">
        <v>17</v>
      </c>
      <c r="G94" t="s">
        <v>18</v>
      </c>
      <c r="H94" t="s">
        <v>19</v>
      </c>
      <c r="I94">
        <v>38600</v>
      </c>
      <c r="J94">
        <v>8</v>
      </c>
      <c r="K94" t="s">
        <v>20</v>
      </c>
      <c r="L94">
        <v>3961.4</v>
      </c>
    </row>
    <row r="95" spans="1:12" x14ac:dyDescent="0.3">
      <c r="A95" t="s">
        <v>241</v>
      </c>
      <c r="B95" t="s">
        <v>238</v>
      </c>
      <c r="C95" t="s">
        <v>121</v>
      </c>
      <c r="D95" t="s">
        <v>38</v>
      </c>
      <c r="E95" t="s">
        <v>52</v>
      </c>
      <c r="F95" t="s">
        <v>17</v>
      </c>
      <c r="G95" t="s">
        <v>104</v>
      </c>
      <c r="H95" t="s">
        <v>105</v>
      </c>
      <c r="I95">
        <v>53903</v>
      </c>
      <c r="J95">
        <v>5</v>
      </c>
      <c r="K95" t="s">
        <v>28</v>
      </c>
      <c r="L95">
        <v>14206.99</v>
      </c>
    </row>
    <row r="96" spans="1:12" x14ac:dyDescent="0.3">
      <c r="A96" t="s">
        <v>242</v>
      </c>
      <c r="B96" t="s">
        <v>243</v>
      </c>
      <c r="C96" t="s">
        <v>37</v>
      </c>
      <c r="D96" t="s">
        <v>32</v>
      </c>
      <c r="E96" t="s">
        <v>45</v>
      </c>
      <c r="F96" t="s">
        <v>25</v>
      </c>
      <c r="G96" t="s">
        <v>57</v>
      </c>
      <c r="H96" t="s">
        <v>58</v>
      </c>
      <c r="I96">
        <v>13482</v>
      </c>
      <c r="J96">
        <v>10</v>
      </c>
      <c r="K96" t="s">
        <v>20</v>
      </c>
      <c r="L96">
        <v>2677.75</v>
      </c>
    </row>
    <row r="97" spans="1:12" x14ac:dyDescent="0.3">
      <c r="A97" t="s">
        <v>244</v>
      </c>
      <c r="B97" t="s">
        <v>245</v>
      </c>
      <c r="C97" t="s">
        <v>31</v>
      </c>
      <c r="D97" t="s">
        <v>15</v>
      </c>
      <c r="E97" t="s">
        <v>73</v>
      </c>
      <c r="F97" t="s">
        <v>46</v>
      </c>
      <c r="G97" t="s">
        <v>87</v>
      </c>
      <c r="H97" t="s">
        <v>88</v>
      </c>
      <c r="I97">
        <v>46802</v>
      </c>
      <c r="J97">
        <v>2</v>
      </c>
      <c r="K97" t="s">
        <v>34</v>
      </c>
      <c r="L97">
        <v>6404.64</v>
      </c>
    </row>
    <row r="98" spans="1:12" x14ac:dyDescent="0.3">
      <c r="A98" t="s">
        <v>246</v>
      </c>
      <c r="B98" t="s">
        <v>247</v>
      </c>
      <c r="C98" t="s">
        <v>121</v>
      </c>
      <c r="D98" t="s">
        <v>23</v>
      </c>
      <c r="E98" t="s">
        <v>129</v>
      </c>
      <c r="F98" t="s">
        <v>25</v>
      </c>
      <c r="G98" t="s">
        <v>57</v>
      </c>
      <c r="H98" t="s">
        <v>58</v>
      </c>
      <c r="I98">
        <v>33921</v>
      </c>
      <c r="J98">
        <v>6</v>
      </c>
      <c r="K98" t="s">
        <v>49</v>
      </c>
      <c r="L98">
        <v>8630.1299999999992</v>
      </c>
    </row>
    <row r="99" spans="1:12" x14ac:dyDescent="0.3">
      <c r="A99" t="s">
        <v>248</v>
      </c>
      <c r="B99" t="s">
        <v>249</v>
      </c>
      <c r="C99" t="s">
        <v>44</v>
      </c>
      <c r="D99" t="s">
        <v>15</v>
      </c>
      <c r="E99" t="s">
        <v>16</v>
      </c>
      <c r="F99" t="s">
        <v>25</v>
      </c>
      <c r="G99" t="s">
        <v>26</v>
      </c>
      <c r="H99" t="s">
        <v>27</v>
      </c>
      <c r="I99">
        <v>60228</v>
      </c>
      <c r="J99">
        <v>5</v>
      </c>
      <c r="K99" t="s">
        <v>34</v>
      </c>
      <c r="L99">
        <v>6968.05</v>
      </c>
    </row>
    <row r="100" spans="1:12" x14ac:dyDescent="0.3">
      <c r="A100" t="s">
        <v>250</v>
      </c>
      <c r="B100" t="s">
        <v>251</v>
      </c>
      <c r="C100" t="s">
        <v>66</v>
      </c>
      <c r="D100" t="s">
        <v>32</v>
      </c>
      <c r="E100" t="s">
        <v>45</v>
      </c>
      <c r="F100" t="s">
        <v>46</v>
      </c>
      <c r="G100" t="s">
        <v>87</v>
      </c>
      <c r="H100" t="s">
        <v>88</v>
      </c>
      <c r="I100">
        <v>35876</v>
      </c>
      <c r="J100">
        <v>8</v>
      </c>
      <c r="K100" t="s">
        <v>20</v>
      </c>
      <c r="L100">
        <v>6472.51</v>
      </c>
    </row>
    <row r="101" spans="1:12" x14ac:dyDescent="0.3">
      <c r="A101" t="s">
        <v>252</v>
      </c>
      <c r="B101" t="s">
        <v>247</v>
      </c>
      <c r="C101" t="s">
        <v>14</v>
      </c>
      <c r="D101" t="s">
        <v>23</v>
      </c>
      <c r="E101" t="s">
        <v>129</v>
      </c>
      <c r="F101" t="s">
        <v>46</v>
      </c>
      <c r="G101" t="s">
        <v>94</v>
      </c>
      <c r="H101" t="s">
        <v>95</v>
      </c>
      <c r="I101">
        <v>58980</v>
      </c>
      <c r="J101">
        <v>8</v>
      </c>
      <c r="K101" t="s">
        <v>53</v>
      </c>
      <c r="L101">
        <v>4368.7700000000004</v>
      </c>
    </row>
    <row r="102" spans="1:12" x14ac:dyDescent="0.3">
      <c r="A102" t="s">
        <v>253</v>
      </c>
      <c r="B102" t="s">
        <v>65</v>
      </c>
      <c r="C102" t="s">
        <v>31</v>
      </c>
      <c r="D102" t="s">
        <v>15</v>
      </c>
      <c r="E102" t="s">
        <v>154</v>
      </c>
      <c r="F102" t="s">
        <v>25</v>
      </c>
      <c r="G102" t="s">
        <v>40</v>
      </c>
      <c r="H102" t="s">
        <v>41</v>
      </c>
      <c r="I102">
        <v>5479</v>
      </c>
      <c r="J102">
        <v>10</v>
      </c>
      <c r="K102" t="s">
        <v>20</v>
      </c>
      <c r="L102">
        <v>659.82</v>
      </c>
    </row>
    <row r="103" spans="1:12" x14ac:dyDescent="0.3">
      <c r="A103" t="s">
        <v>254</v>
      </c>
      <c r="B103" t="s">
        <v>255</v>
      </c>
      <c r="C103" t="s">
        <v>44</v>
      </c>
      <c r="D103" t="s">
        <v>23</v>
      </c>
      <c r="E103" t="s">
        <v>24</v>
      </c>
      <c r="F103" t="s">
        <v>17</v>
      </c>
      <c r="G103" t="s">
        <v>76</v>
      </c>
      <c r="H103" t="s">
        <v>77</v>
      </c>
      <c r="I103">
        <v>35586</v>
      </c>
      <c r="J103">
        <v>3</v>
      </c>
      <c r="K103" t="s">
        <v>28</v>
      </c>
      <c r="L103">
        <v>5715.75</v>
      </c>
    </row>
    <row r="104" spans="1:12" x14ac:dyDescent="0.3">
      <c r="A104" t="s">
        <v>256</v>
      </c>
      <c r="B104" t="s">
        <v>257</v>
      </c>
      <c r="C104" t="s">
        <v>31</v>
      </c>
      <c r="D104" t="s">
        <v>23</v>
      </c>
      <c r="E104" t="s">
        <v>24</v>
      </c>
      <c r="F104" t="s">
        <v>46</v>
      </c>
      <c r="G104" t="s">
        <v>94</v>
      </c>
      <c r="H104" t="s">
        <v>95</v>
      </c>
      <c r="I104">
        <v>23970</v>
      </c>
      <c r="J104">
        <v>7</v>
      </c>
      <c r="K104" t="s">
        <v>49</v>
      </c>
      <c r="L104">
        <v>3124.94</v>
      </c>
    </row>
    <row r="105" spans="1:12" x14ac:dyDescent="0.3">
      <c r="A105" t="s">
        <v>258</v>
      </c>
      <c r="B105" t="s">
        <v>230</v>
      </c>
      <c r="C105" t="s">
        <v>37</v>
      </c>
      <c r="D105" t="s">
        <v>38</v>
      </c>
      <c r="E105" t="s">
        <v>67</v>
      </c>
      <c r="F105" t="s">
        <v>25</v>
      </c>
      <c r="G105" t="s">
        <v>57</v>
      </c>
      <c r="H105" t="s">
        <v>58</v>
      </c>
      <c r="I105">
        <v>65002</v>
      </c>
      <c r="J105">
        <v>8</v>
      </c>
      <c r="K105" t="s">
        <v>53</v>
      </c>
      <c r="L105">
        <v>12875.06</v>
      </c>
    </row>
    <row r="106" spans="1:12" x14ac:dyDescent="0.3">
      <c r="A106" t="s">
        <v>259</v>
      </c>
      <c r="B106" t="s">
        <v>260</v>
      </c>
      <c r="C106" t="s">
        <v>121</v>
      </c>
      <c r="D106" t="s">
        <v>23</v>
      </c>
      <c r="E106" t="s">
        <v>129</v>
      </c>
      <c r="F106" t="s">
        <v>25</v>
      </c>
      <c r="G106" t="s">
        <v>40</v>
      </c>
      <c r="H106" t="s">
        <v>41</v>
      </c>
      <c r="I106">
        <v>70806</v>
      </c>
      <c r="J106">
        <v>9</v>
      </c>
      <c r="K106" t="s">
        <v>20</v>
      </c>
      <c r="L106">
        <v>14467.09</v>
      </c>
    </row>
    <row r="107" spans="1:12" x14ac:dyDescent="0.3">
      <c r="A107" t="s">
        <v>261</v>
      </c>
      <c r="B107" t="s">
        <v>262</v>
      </c>
      <c r="C107" t="s">
        <v>37</v>
      </c>
      <c r="D107" t="s">
        <v>32</v>
      </c>
      <c r="E107" t="s">
        <v>33</v>
      </c>
      <c r="F107" t="s">
        <v>25</v>
      </c>
      <c r="G107" t="s">
        <v>26</v>
      </c>
      <c r="H107" t="s">
        <v>27</v>
      </c>
      <c r="I107">
        <v>58467</v>
      </c>
      <c r="J107">
        <v>1</v>
      </c>
      <c r="K107" t="s">
        <v>28</v>
      </c>
      <c r="L107">
        <v>7854.3</v>
      </c>
    </row>
    <row r="108" spans="1:12" x14ac:dyDescent="0.3">
      <c r="A108" t="s">
        <v>263</v>
      </c>
      <c r="B108" t="s">
        <v>264</v>
      </c>
      <c r="C108" t="s">
        <v>44</v>
      </c>
      <c r="D108" t="s">
        <v>23</v>
      </c>
      <c r="E108" t="s">
        <v>129</v>
      </c>
      <c r="F108" t="s">
        <v>17</v>
      </c>
      <c r="G108" t="s">
        <v>76</v>
      </c>
      <c r="H108" t="s">
        <v>77</v>
      </c>
      <c r="I108">
        <v>58216</v>
      </c>
      <c r="J108">
        <v>1</v>
      </c>
      <c r="K108" t="s">
        <v>20</v>
      </c>
      <c r="L108">
        <v>10982.59</v>
      </c>
    </row>
    <row r="109" spans="1:12" x14ac:dyDescent="0.3">
      <c r="A109" t="s">
        <v>265</v>
      </c>
      <c r="B109" t="s">
        <v>266</v>
      </c>
      <c r="C109" t="s">
        <v>91</v>
      </c>
      <c r="D109" t="s">
        <v>23</v>
      </c>
      <c r="E109" t="s">
        <v>82</v>
      </c>
      <c r="F109" t="s">
        <v>25</v>
      </c>
      <c r="G109" t="s">
        <v>26</v>
      </c>
      <c r="H109" t="s">
        <v>27</v>
      </c>
      <c r="I109">
        <v>67408</v>
      </c>
      <c r="J109">
        <v>4</v>
      </c>
      <c r="K109" t="s">
        <v>20</v>
      </c>
      <c r="L109">
        <v>16821.87</v>
      </c>
    </row>
    <row r="110" spans="1:12" x14ac:dyDescent="0.3">
      <c r="A110" t="s">
        <v>267</v>
      </c>
      <c r="B110" t="s">
        <v>268</v>
      </c>
      <c r="C110" t="s">
        <v>44</v>
      </c>
      <c r="D110" t="s">
        <v>32</v>
      </c>
      <c r="E110" t="s">
        <v>45</v>
      </c>
      <c r="F110" t="s">
        <v>46</v>
      </c>
      <c r="G110" t="s">
        <v>94</v>
      </c>
      <c r="H110" t="s">
        <v>95</v>
      </c>
      <c r="I110">
        <v>61000</v>
      </c>
      <c r="J110">
        <v>10</v>
      </c>
      <c r="K110" t="s">
        <v>49</v>
      </c>
      <c r="L110">
        <v>9093.08</v>
      </c>
    </row>
    <row r="111" spans="1:12" x14ac:dyDescent="0.3">
      <c r="A111" t="s">
        <v>269</v>
      </c>
      <c r="B111" t="s">
        <v>79</v>
      </c>
      <c r="C111" t="s">
        <v>56</v>
      </c>
      <c r="D111" t="s">
        <v>23</v>
      </c>
      <c r="E111" t="s">
        <v>129</v>
      </c>
      <c r="F111" t="s">
        <v>25</v>
      </c>
      <c r="G111" t="s">
        <v>26</v>
      </c>
      <c r="H111" t="s">
        <v>27</v>
      </c>
      <c r="I111">
        <v>48154</v>
      </c>
      <c r="J111">
        <v>8</v>
      </c>
      <c r="K111" t="s">
        <v>28</v>
      </c>
      <c r="L111">
        <v>11568.11</v>
      </c>
    </row>
    <row r="112" spans="1:12" x14ac:dyDescent="0.3">
      <c r="A112" t="s">
        <v>270</v>
      </c>
      <c r="B112" t="s">
        <v>271</v>
      </c>
      <c r="C112" t="s">
        <v>37</v>
      </c>
      <c r="D112" t="s">
        <v>23</v>
      </c>
      <c r="E112" t="s">
        <v>129</v>
      </c>
      <c r="F112" t="s">
        <v>25</v>
      </c>
      <c r="G112" t="s">
        <v>57</v>
      </c>
      <c r="H112" t="s">
        <v>58</v>
      </c>
      <c r="I112">
        <v>43100</v>
      </c>
      <c r="J112">
        <v>1</v>
      </c>
      <c r="K112" t="s">
        <v>34</v>
      </c>
      <c r="L112">
        <v>9048.2900000000009</v>
      </c>
    </row>
    <row r="113" spans="1:12" x14ac:dyDescent="0.3">
      <c r="A113" t="s">
        <v>272</v>
      </c>
      <c r="B113" t="s">
        <v>162</v>
      </c>
      <c r="C113" t="s">
        <v>72</v>
      </c>
      <c r="D113" t="s">
        <v>32</v>
      </c>
      <c r="E113" t="s">
        <v>33</v>
      </c>
      <c r="F113" t="s">
        <v>17</v>
      </c>
      <c r="G113" t="s">
        <v>76</v>
      </c>
      <c r="H113" t="s">
        <v>77</v>
      </c>
      <c r="I113">
        <v>78456</v>
      </c>
      <c r="J113">
        <v>10</v>
      </c>
      <c r="K113" t="s">
        <v>49</v>
      </c>
      <c r="L113">
        <v>9541.18</v>
      </c>
    </row>
    <row r="114" spans="1:12" x14ac:dyDescent="0.3">
      <c r="A114" t="s">
        <v>273</v>
      </c>
      <c r="B114" t="s">
        <v>274</v>
      </c>
      <c r="C114" t="s">
        <v>31</v>
      </c>
      <c r="D114" t="s">
        <v>32</v>
      </c>
      <c r="E114" t="s">
        <v>116</v>
      </c>
      <c r="F114" t="s">
        <v>25</v>
      </c>
      <c r="G114" t="s">
        <v>26</v>
      </c>
      <c r="H114" t="s">
        <v>27</v>
      </c>
      <c r="I114">
        <v>66888</v>
      </c>
      <c r="J114">
        <v>1</v>
      </c>
      <c r="K114" t="s">
        <v>34</v>
      </c>
      <c r="L114">
        <v>11412.13</v>
      </c>
    </row>
    <row r="115" spans="1:12" x14ac:dyDescent="0.3">
      <c r="A115" t="s">
        <v>275</v>
      </c>
      <c r="B115" t="s">
        <v>133</v>
      </c>
      <c r="C115" t="s">
        <v>66</v>
      </c>
      <c r="D115" t="s">
        <v>15</v>
      </c>
      <c r="E115" t="s">
        <v>73</v>
      </c>
      <c r="F115" t="s">
        <v>17</v>
      </c>
      <c r="G115" t="s">
        <v>18</v>
      </c>
      <c r="H115" t="s">
        <v>19</v>
      </c>
      <c r="I115">
        <v>55339</v>
      </c>
      <c r="J115">
        <v>7</v>
      </c>
      <c r="K115" t="s">
        <v>20</v>
      </c>
      <c r="L115">
        <v>13160.69</v>
      </c>
    </row>
    <row r="116" spans="1:12" x14ac:dyDescent="0.3">
      <c r="A116" t="s">
        <v>276</v>
      </c>
      <c r="B116" t="s">
        <v>277</v>
      </c>
      <c r="C116" t="s">
        <v>63</v>
      </c>
      <c r="D116" t="s">
        <v>38</v>
      </c>
      <c r="E116" t="s">
        <v>52</v>
      </c>
      <c r="F116" t="s">
        <v>17</v>
      </c>
      <c r="G116" t="s">
        <v>76</v>
      </c>
      <c r="H116" t="s">
        <v>77</v>
      </c>
      <c r="I116">
        <v>26324</v>
      </c>
      <c r="J116">
        <v>3</v>
      </c>
      <c r="K116" t="s">
        <v>49</v>
      </c>
      <c r="L116">
        <v>6304.47</v>
      </c>
    </row>
    <row r="117" spans="1:12" x14ac:dyDescent="0.3">
      <c r="A117" t="s">
        <v>278</v>
      </c>
      <c r="B117" t="s">
        <v>279</v>
      </c>
      <c r="C117" t="s">
        <v>37</v>
      </c>
      <c r="D117" t="s">
        <v>38</v>
      </c>
      <c r="E117" t="s">
        <v>39</v>
      </c>
      <c r="F117" t="s">
        <v>17</v>
      </c>
      <c r="G117" t="s">
        <v>18</v>
      </c>
      <c r="H117" t="s">
        <v>19</v>
      </c>
      <c r="I117">
        <v>41499</v>
      </c>
      <c r="J117">
        <v>2</v>
      </c>
      <c r="K117" t="s">
        <v>28</v>
      </c>
      <c r="L117">
        <v>6440.06</v>
      </c>
    </row>
    <row r="118" spans="1:12" x14ac:dyDescent="0.3">
      <c r="A118" t="s">
        <v>280</v>
      </c>
      <c r="B118" t="s">
        <v>281</v>
      </c>
      <c r="C118" t="s">
        <v>31</v>
      </c>
      <c r="D118" t="s">
        <v>23</v>
      </c>
      <c r="E118" t="s">
        <v>82</v>
      </c>
      <c r="F118" t="s">
        <v>17</v>
      </c>
      <c r="G118" t="s">
        <v>18</v>
      </c>
      <c r="H118" t="s">
        <v>19</v>
      </c>
      <c r="I118">
        <v>14834</v>
      </c>
      <c r="J118">
        <v>8</v>
      </c>
      <c r="K118" t="s">
        <v>49</v>
      </c>
      <c r="L118">
        <v>2705.17</v>
      </c>
    </row>
    <row r="119" spans="1:12" x14ac:dyDescent="0.3">
      <c r="A119" t="s">
        <v>282</v>
      </c>
      <c r="B119" t="s">
        <v>283</v>
      </c>
      <c r="C119" t="s">
        <v>66</v>
      </c>
      <c r="D119" t="s">
        <v>15</v>
      </c>
      <c r="E119" t="s">
        <v>16</v>
      </c>
      <c r="F119" t="s">
        <v>46</v>
      </c>
      <c r="G119" t="s">
        <v>94</v>
      </c>
      <c r="H119" t="s">
        <v>95</v>
      </c>
      <c r="I119">
        <v>44968</v>
      </c>
      <c r="J119">
        <v>8</v>
      </c>
      <c r="K119" t="s">
        <v>49</v>
      </c>
      <c r="L119">
        <v>5513.77</v>
      </c>
    </row>
    <row r="120" spans="1:12" x14ac:dyDescent="0.3">
      <c r="A120" t="s">
        <v>284</v>
      </c>
      <c r="B120" t="s">
        <v>285</v>
      </c>
      <c r="C120" t="s">
        <v>121</v>
      </c>
      <c r="D120" t="s">
        <v>23</v>
      </c>
      <c r="E120" t="s">
        <v>129</v>
      </c>
      <c r="F120" t="s">
        <v>46</v>
      </c>
      <c r="G120" t="s">
        <v>94</v>
      </c>
      <c r="H120" t="s">
        <v>95</v>
      </c>
      <c r="I120">
        <v>63330</v>
      </c>
      <c r="J120">
        <v>4</v>
      </c>
      <c r="K120" t="s">
        <v>49</v>
      </c>
      <c r="L120">
        <v>17336.13</v>
      </c>
    </row>
    <row r="121" spans="1:12" x14ac:dyDescent="0.3">
      <c r="A121" t="s">
        <v>286</v>
      </c>
      <c r="B121" t="s">
        <v>287</v>
      </c>
      <c r="C121" t="s">
        <v>14</v>
      </c>
      <c r="D121" t="s">
        <v>23</v>
      </c>
      <c r="E121" t="s">
        <v>82</v>
      </c>
      <c r="F121" t="s">
        <v>25</v>
      </c>
      <c r="G121" t="s">
        <v>57</v>
      </c>
      <c r="H121" t="s">
        <v>58</v>
      </c>
      <c r="I121">
        <v>30623</v>
      </c>
      <c r="J121">
        <v>4</v>
      </c>
      <c r="K121" t="s">
        <v>20</v>
      </c>
      <c r="L121">
        <v>4921.3100000000004</v>
      </c>
    </row>
    <row r="122" spans="1:12" x14ac:dyDescent="0.3">
      <c r="A122" t="s">
        <v>288</v>
      </c>
      <c r="B122" t="s">
        <v>262</v>
      </c>
      <c r="C122" t="s">
        <v>56</v>
      </c>
      <c r="D122" t="s">
        <v>32</v>
      </c>
      <c r="E122" t="s">
        <v>33</v>
      </c>
      <c r="F122" t="s">
        <v>46</v>
      </c>
      <c r="G122" t="s">
        <v>94</v>
      </c>
      <c r="H122" t="s">
        <v>95</v>
      </c>
      <c r="I122">
        <v>58230</v>
      </c>
      <c r="J122">
        <v>7</v>
      </c>
      <c r="K122" t="s">
        <v>49</v>
      </c>
      <c r="L122">
        <v>6440.3</v>
      </c>
    </row>
    <row r="123" spans="1:12" x14ac:dyDescent="0.3">
      <c r="A123" t="s">
        <v>289</v>
      </c>
      <c r="B123" t="s">
        <v>290</v>
      </c>
      <c r="C123" t="s">
        <v>72</v>
      </c>
      <c r="D123" t="s">
        <v>32</v>
      </c>
      <c r="E123" t="s">
        <v>45</v>
      </c>
      <c r="F123" t="s">
        <v>25</v>
      </c>
      <c r="G123" t="s">
        <v>40</v>
      </c>
      <c r="H123" t="s">
        <v>41</v>
      </c>
      <c r="I123">
        <v>14876</v>
      </c>
      <c r="J123">
        <v>8</v>
      </c>
      <c r="K123" t="s">
        <v>28</v>
      </c>
      <c r="L123">
        <v>2115.66</v>
      </c>
    </row>
    <row r="124" spans="1:12" x14ac:dyDescent="0.3">
      <c r="A124" t="s">
        <v>291</v>
      </c>
      <c r="B124" t="s">
        <v>292</v>
      </c>
      <c r="C124" t="s">
        <v>72</v>
      </c>
      <c r="D124" t="s">
        <v>38</v>
      </c>
      <c r="E124" t="s">
        <v>39</v>
      </c>
      <c r="F124" t="s">
        <v>46</v>
      </c>
      <c r="G124" t="s">
        <v>47</v>
      </c>
      <c r="H124" t="s">
        <v>48</v>
      </c>
      <c r="I124">
        <v>70615</v>
      </c>
      <c r="J124">
        <v>7</v>
      </c>
      <c r="K124" t="s">
        <v>34</v>
      </c>
      <c r="L124">
        <v>17146.43</v>
      </c>
    </row>
    <row r="125" spans="1:12" x14ac:dyDescent="0.3">
      <c r="A125" t="s">
        <v>293</v>
      </c>
      <c r="B125" t="s">
        <v>210</v>
      </c>
      <c r="C125" t="s">
        <v>44</v>
      </c>
      <c r="D125" t="s">
        <v>32</v>
      </c>
      <c r="E125" t="s">
        <v>116</v>
      </c>
      <c r="F125" t="s">
        <v>46</v>
      </c>
      <c r="G125" t="s">
        <v>47</v>
      </c>
      <c r="H125" t="s">
        <v>48</v>
      </c>
      <c r="I125">
        <v>21940</v>
      </c>
      <c r="J125">
        <v>7</v>
      </c>
      <c r="K125" t="s">
        <v>49</v>
      </c>
      <c r="L125">
        <v>3214.33</v>
      </c>
    </row>
    <row r="126" spans="1:12" x14ac:dyDescent="0.3">
      <c r="A126" t="s">
        <v>294</v>
      </c>
      <c r="B126" t="s">
        <v>295</v>
      </c>
      <c r="C126" t="s">
        <v>66</v>
      </c>
      <c r="D126" t="s">
        <v>15</v>
      </c>
      <c r="E126" t="s">
        <v>73</v>
      </c>
      <c r="F126" t="s">
        <v>17</v>
      </c>
      <c r="G126" t="s">
        <v>76</v>
      </c>
      <c r="H126" t="s">
        <v>77</v>
      </c>
      <c r="I126">
        <v>2026</v>
      </c>
      <c r="J126">
        <v>9</v>
      </c>
      <c r="K126" t="s">
        <v>28</v>
      </c>
      <c r="L126">
        <v>246.16</v>
      </c>
    </row>
    <row r="127" spans="1:12" x14ac:dyDescent="0.3">
      <c r="A127" t="s">
        <v>296</v>
      </c>
      <c r="B127" t="s">
        <v>297</v>
      </c>
      <c r="C127" t="s">
        <v>63</v>
      </c>
      <c r="D127" t="s">
        <v>38</v>
      </c>
      <c r="E127" t="s">
        <v>39</v>
      </c>
      <c r="F127" t="s">
        <v>46</v>
      </c>
      <c r="G127" t="s">
        <v>87</v>
      </c>
      <c r="H127" t="s">
        <v>88</v>
      </c>
      <c r="I127">
        <v>48514</v>
      </c>
      <c r="J127">
        <v>9</v>
      </c>
      <c r="K127" t="s">
        <v>53</v>
      </c>
      <c r="L127">
        <v>8304.68</v>
      </c>
    </row>
    <row r="128" spans="1:12" x14ac:dyDescent="0.3">
      <c r="A128" t="s">
        <v>298</v>
      </c>
      <c r="B128" t="s">
        <v>299</v>
      </c>
      <c r="C128" t="s">
        <v>66</v>
      </c>
      <c r="D128" t="s">
        <v>32</v>
      </c>
      <c r="E128" t="s">
        <v>116</v>
      </c>
      <c r="F128" t="s">
        <v>46</v>
      </c>
      <c r="G128" t="s">
        <v>47</v>
      </c>
      <c r="H128" t="s">
        <v>48</v>
      </c>
      <c r="I128">
        <v>63779</v>
      </c>
      <c r="J128">
        <v>9</v>
      </c>
      <c r="K128" t="s">
        <v>49</v>
      </c>
      <c r="L128">
        <v>8020.35</v>
      </c>
    </row>
    <row r="129" spans="1:12" x14ac:dyDescent="0.3">
      <c r="A129" t="s">
        <v>300</v>
      </c>
      <c r="B129" t="s">
        <v>301</v>
      </c>
      <c r="C129" t="s">
        <v>72</v>
      </c>
      <c r="D129" t="s">
        <v>38</v>
      </c>
      <c r="E129" t="s">
        <v>39</v>
      </c>
      <c r="F129" t="s">
        <v>25</v>
      </c>
      <c r="G129" t="s">
        <v>57</v>
      </c>
      <c r="H129" t="s">
        <v>58</v>
      </c>
      <c r="I129">
        <v>12402</v>
      </c>
      <c r="J129">
        <v>2</v>
      </c>
      <c r="K129" t="s">
        <v>49</v>
      </c>
      <c r="L129">
        <v>2733.85</v>
      </c>
    </row>
    <row r="130" spans="1:12" x14ac:dyDescent="0.3">
      <c r="A130" t="s">
        <v>302</v>
      </c>
      <c r="B130" t="s">
        <v>234</v>
      </c>
      <c r="C130" t="s">
        <v>31</v>
      </c>
      <c r="D130" t="s">
        <v>38</v>
      </c>
      <c r="E130" t="s">
        <v>39</v>
      </c>
      <c r="F130" t="s">
        <v>25</v>
      </c>
      <c r="G130" t="s">
        <v>26</v>
      </c>
      <c r="H130" t="s">
        <v>27</v>
      </c>
      <c r="I130">
        <v>13165</v>
      </c>
      <c r="J130">
        <v>8</v>
      </c>
      <c r="K130" t="s">
        <v>49</v>
      </c>
      <c r="L130">
        <v>1342.91</v>
      </c>
    </row>
    <row r="131" spans="1:12" x14ac:dyDescent="0.3">
      <c r="A131" t="s">
        <v>303</v>
      </c>
      <c r="B131" t="s">
        <v>304</v>
      </c>
      <c r="C131" t="s">
        <v>66</v>
      </c>
      <c r="D131" t="s">
        <v>32</v>
      </c>
      <c r="E131" t="s">
        <v>116</v>
      </c>
      <c r="F131" t="s">
        <v>17</v>
      </c>
      <c r="G131" t="s">
        <v>104</v>
      </c>
      <c r="H131" t="s">
        <v>105</v>
      </c>
      <c r="I131">
        <v>27944</v>
      </c>
      <c r="J131">
        <v>1</v>
      </c>
      <c r="K131" t="s">
        <v>53</v>
      </c>
      <c r="L131">
        <v>4119.8500000000004</v>
      </c>
    </row>
    <row r="132" spans="1:12" x14ac:dyDescent="0.3">
      <c r="A132" t="s">
        <v>305</v>
      </c>
      <c r="B132" t="s">
        <v>306</v>
      </c>
      <c r="C132" t="s">
        <v>121</v>
      </c>
      <c r="D132" t="s">
        <v>15</v>
      </c>
      <c r="E132" t="s">
        <v>154</v>
      </c>
      <c r="F132" t="s">
        <v>25</v>
      </c>
      <c r="G132" t="s">
        <v>57</v>
      </c>
      <c r="H132" t="s">
        <v>58</v>
      </c>
      <c r="I132">
        <v>34640</v>
      </c>
      <c r="J132">
        <v>1</v>
      </c>
      <c r="K132" t="s">
        <v>20</v>
      </c>
      <c r="L132">
        <v>3385.72</v>
      </c>
    </row>
    <row r="133" spans="1:12" x14ac:dyDescent="0.3">
      <c r="A133" t="s">
        <v>307</v>
      </c>
      <c r="B133" t="s">
        <v>308</v>
      </c>
      <c r="C133" t="s">
        <v>56</v>
      </c>
      <c r="D133" t="s">
        <v>15</v>
      </c>
      <c r="E133" t="s">
        <v>154</v>
      </c>
      <c r="F133" t="s">
        <v>17</v>
      </c>
      <c r="G133" t="s">
        <v>76</v>
      </c>
      <c r="H133" t="s">
        <v>77</v>
      </c>
      <c r="I133">
        <v>45270</v>
      </c>
      <c r="J133">
        <v>9</v>
      </c>
      <c r="K133" t="s">
        <v>49</v>
      </c>
      <c r="L133">
        <v>12373.42</v>
      </c>
    </row>
    <row r="134" spans="1:12" x14ac:dyDescent="0.3">
      <c r="A134" t="s">
        <v>309</v>
      </c>
      <c r="B134" t="s">
        <v>238</v>
      </c>
      <c r="C134" t="s">
        <v>56</v>
      </c>
      <c r="D134" t="s">
        <v>23</v>
      </c>
      <c r="E134" t="s">
        <v>129</v>
      </c>
      <c r="F134" t="s">
        <v>17</v>
      </c>
      <c r="G134" t="s">
        <v>18</v>
      </c>
      <c r="H134" t="s">
        <v>19</v>
      </c>
      <c r="I134">
        <v>2858</v>
      </c>
      <c r="J134">
        <v>7</v>
      </c>
      <c r="K134" t="s">
        <v>34</v>
      </c>
      <c r="L134">
        <v>663.9</v>
      </c>
    </row>
    <row r="135" spans="1:12" x14ac:dyDescent="0.3">
      <c r="A135" t="s">
        <v>310</v>
      </c>
      <c r="B135" t="s">
        <v>274</v>
      </c>
      <c r="C135" t="s">
        <v>56</v>
      </c>
      <c r="D135" t="s">
        <v>32</v>
      </c>
      <c r="E135" t="s">
        <v>116</v>
      </c>
      <c r="F135" t="s">
        <v>17</v>
      </c>
      <c r="G135" t="s">
        <v>104</v>
      </c>
      <c r="H135" t="s">
        <v>105</v>
      </c>
      <c r="I135">
        <v>68626</v>
      </c>
      <c r="J135">
        <v>2</v>
      </c>
      <c r="K135" t="s">
        <v>34</v>
      </c>
      <c r="L135">
        <v>4321.8900000000003</v>
      </c>
    </row>
    <row r="136" spans="1:12" x14ac:dyDescent="0.3">
      <c r="A136" t="s">
        <v>311</v>
      </c>
      <c r="B136" t="s">
        <v>312</v>
      </c>
      <c r="C136" t="s">
        <v>56</v>
      </c>
      <c r="D136" t="s">
        <v>38</v>
      </c>
      <c r="E136" t="s">
        <v>67</v>
      </c>
      <c r="F136" t="s">
        <v>25</v>
      </c>
      <c r="G136" t="s">
        <v>26</v>
      </c>
      <c r="H136" t="s">
        <v>27</v>
      </c>
      <c r="I136">
        <v>75511</v>
      </c>
      <c r="J136">
        <v>7</v>
      </c>
      <c r="K136" t="s">
        <v>49</v>
      </c>
      <c r="L136">
        <v>13551.02</v>
      </c>
    </row>
    <row r="137" spans="1:12" x14ac:dyDescent="0.3">
      <c r="A137" t="s">
        <v>313</v>
      </c>
      <c r="B137" t="s">
        <v>314</v>
      </c>
      <c r="C137" t="s">
        <v>66</v>
      </c>
      <c r="D137" t="s">
        <v>38</v>
      </c>
      <c r="E137" t="s">
        <v>67</v>
      </c>
      <c r="F137" t="s">
        <v>46</v>
      </c>
      <c r="G137" t="s">
        <v>87</v>
      </c>
      <c r="H137" t="s">
        <v>88</v>
      </c>
      <c r="I137">
        <v>31824</v>
      </c>
      <c r="J137">
        <v>6</v>
      </c>
      <c r="K137" t="s">
        <v>28</v>
      </c>
      <c r="L137">
        <v>6441.68</v>
      </c>
    </row>
    <row r="138" spans="1:12" x14ac:dyDescent="0.3">
      <c r="A138" t="s">
        <v>315</v>
      </c>
      <c r="B138" t="s">
        <v>218</v>
      </c>
      <c r="C138" t="s">
        <v>91</v>
      </c>
      <c r="D138" t="s">
        <v>15</v>
      </c>
      <c r="E138" t="s">
        <v>73</v>
      </c>
      <c r="F138" t="s">
        <v>46</v>
      </c>
      <c r="G138" t="s">
        <v>94</v>
      </c>
      <c r="H138" t="s">
        <v>95</v>
      </c>
      <c r="I138">
        <v>69617</v>
      </c>
      <c r="J138">
        <v>8</v>
      </c>
      <c r="K138" t="s">
        <v>49</v>
      </c>
      <c r="L138">
        <v>8579.75</v>
      </c>
    </row>
    <row r="139" spans="1:12" x14ac:dyDescent="0.3">
      <c r="A139" t="s">
        <v>316</v>
      </c>
      <c r="B139" t="s">
        <v>156</v>
      </c>
      <c r="C139" t="s">
        <v>121</v>
      </c>
      <c r="D139" t="s">
        <v>23</v>
      </c>
      <c r="E139" t="s">
        <v>129</v>
      </c>
      <c r="F139" t="s">
        <v>46</v>
      </c>
      <c r="G139" t="s">
        <v>87</v>
      </c>
      <c r="H139" t="s">
        <v>88</v>
      </c>
      <c r="I139">
        <v>18997</v>
      </c>
      <c r="J139">
        <v>1</v>
      </c>
      <c r="K139" t="s">
        <v>28</v>
      </c>
      <c r="L139">
        <v>1727.18</v>
      </c>
    </row>
    <row r="140" spans="1:12" x14ac:dyDescent="0.3">
      <c r="A140" t="s">
        <v>317</v>
      </c>
      <c r="B140" t="s">
        <v>271</v>
      </c>
      <c r="C140" t="s">
        <v>66</v>
      </c>
      <c r="D140" t="s">
        <v>32</v>
      </c>
      <c r="E140" t="s">
        <v>116</v>
      </c>
      <c r="F140" t="s">
        <v>46</v>
      </c>
      <c r="G140" t="s">
        <v>94</v>
      </c>
      <c r="H140" t="s">
        <v>95</v>
      </c>
      <c r="I140">
        <v>69027</v>
      </c>
      <c r="J140">
        <v>2</v>
      </c>
      <c r="K140" t="s">
        <v>34</v>
      </c>
      <c r="L140">
        <v>6149.1</v>
      </c>
    </row>
    <row r="141" spans="1:12" x14ac:dyDescent="0.3">
      <c r="A141" t="s">
        <v>318</v>
      </c>
      <c r="B141" t="s">
        <v>319</v>
      </c>
      <c r="C141" t="s">
        <v>66</v>
      </c>
      <c r="D141" t="s">
        <v>32</v>
      </c>
      <c r="E141" t="s">
        <v>45</v>
      </c>
      <c r="F141" t="s">
        <v>25</v>
      </c>
      <c r="G141" t="s">
        <v>40</v>
      </c>
      <c r="H141" t="s">
        <v>41</v>
      </c>
      <c r="I141">
        <v>33505</v>
      </c>
      <c r="J141">
        <v>9</v>
      </c>
      <c r="K141" t="s">
        <v>49</v>
      </c>
      <c r="L141">
        <v>3540.28</v>
      </c>
    </row>
    <row r="142" spans="1:12" x14ac:dyDescent="0.3">
      <c r="A142" t="s">
        <v>320</v>
      </c>
      <c r="B142" t="s">
        <v>321</v>
      </c>
      <c r="C142" t="s">
        <v>44</v>
      </c>
      <c r="D142" t="s">
        <v>32</v>
      </c>
      <c r="E142" t="s">
        <v>116</v>
      </c>
      <c r="F142" t="s">
        <v>46</v>
      </c>
      <c r="G142" t="s">
        <v>94</v>
      </c>
      <c r="H142" t="s">
        <v>95</v>
      </c>
      <c r="I142">
        <v>9075</v>
      </c>
      <c r="J142">
        <v>8</v>
      </c>
      <c r="K142" t="s">
        <v>53</v>
      </c>
      <c r="L142">
        <v>2246.2800000000002</v>
      </c>
    </row>
    <row r="143" spans="1:12" x14ac:dyDescent="0.3">
      <c r="A143" t="s">
        <v>322</v>
      </c>
      <c r="B143" t="s">
        <v>172</v>
      </c>
      <c r="C143" t="s">
        <v>66</v>
      </c>
      <c r="D143" t="s">
        <v>15</v>
      </c>
      <c r="E143" t="s">
        <v>16</v>
      </c>
      <c r="F143" t="s">
        <v>46</v>
      </c>
      <c r="G143" t="s">
        <v>87</v>
      </c>
      <c r="H143" t="s">
        <v>88</v>
      </c>
      <c r="I143">
        <v>64129</v>
      </c>
      <c r="J143">
        <v>5</v>
      </c>
      <c r="K143" t="s">
        <v>34</v>
      </c>
      <c r="L143">
        <v>14993.44</v>
      </c>
    </row>
    <row r="144" spans="1:12" x14ac:dyDescent="0.3">
      <c r="A144" t="s">
        <v>323</v>
      </c>
      <c r="B144" t="s">
        <v>324</v>
      </c>
      <c r="C144" t="s">
        <v>121</v>
      </c>
      <c r="D144" t="s">
        <v>38</v>
      </c>
      <c r="E144" t="s">
        <v>52</v>
      </c>
      <c r="F144" t="s">
        <v>25</v>
      </c>
      <c r="G144" t="s">
        <v>40</v>
      </c>
      <c r="H144" t="s">
        <v>41</v>
      </c>
      <c r="I144">
        <v>42412</v>
      </c>
      <c r="J144">
        <v>1</v>
      </c>
      <c r="K144" t="s">
        <v>34</v>
      </c>
      <c r="L144">
        <v>3913.68</v>
      </c>
    </row>
    <row r="145" spans="1:12" x14ac:dyDescent="0.3">
      <c r="A145" t="s">
        <v>325</v>
      </c>
      <c r="B145" t="s">
        <v>326</v>
      </c>
      <c r="C145" t="s">
        <v>31</v>
      </c>
      <c r="D145" t="s">
        <v>15</v>
      </c>
      <c r="E145" t="s">
        <v>73</v>
      </c>
      <c r="F145" t="s">
        <v>25</v>
      </c>
      <c r="G145" t="s">
        <v>57</v>
      </c>
      <c r="H145" t="s">
        <v>58</v>
      </c>
      <c r="I145">
        <v>15541</v>
      </c>
      <c r="J145">
        <v>1</v>
      </c>
      <c r="K145" t="s">
        <v>49</v>
      </c>
      <c r="L145">
        <v>1420.93</v>
      </c>
    </row>
    <row r="146" spans="1:12" x14ac:dyDescent="0.3">
      <c r="A146" t="s">
        <v>327</v>
      </c>
      <c r="B146" t="s">
        <v>328</v>
      </c>
      <c r="C146" t="s">
        <v>31</v>
      </c>
      <c r="D146" t="s">
        <v>38</v>
      </c>
      <c r="E146" t="s">
        <v>52</v>
      </c>
      <c r="F146" t="s">
        <v>46</v>
      </c>
      <c r="G146" t="s">
        <v>94</v>
      </c>
      <c r="H146" t="s">
        <v>95</v>
      </c>
      <c r="I146">
        <v>23683</v>
      </c>
      <c r="J146">
        <v>1</v>
      </c>
      <c r="K146" t="s">
        <v>53</v>
      </c>
      <c r="L146">
        <v>5122.58</v>
      </c>
    </row>
    <row r="147" spans="1:12" x14ac:dyDescent="0.3">
      <c r="A147" t="s">
        <v>329</v>
      </c>
      <c r="B147" t="s">
        <v>330</v>
      </c>
      <c r="C147" t="s">
        <v>121</v>
      </c>
      <c r="D147" t="s">
        <v>32</v>
      </c>
      <c r="E147" t="s">
        <v>116</v>
      </c>
      <c r="F147" t="s">
        <v>25</v>
      </c>
      <c r="G147" t="s">
        <v>40</v>
      </c>
      <c r="H147" t="s">
        <v>41</v>
      </c>
      <c r="I147">
        <v>6666</v>
      </c>
      <c r="J147">
        <v>3</v>
      </c>
      <c r="K147" t="s">
        <v>34</v>
      </c>
      <c r="L147">
        <v>1607.3</v>
      </c>
    </row>
    <row r="148" spans="1:12" x14ac:dyDescent="0.3">
      <c r="A148" t="s">
        <v>331</v>
      </c>
      <c r="B148" t="s">
        <v>332</v>
      </c>
      <c r="C148" t="s">
        <v>121</v>
      </c>
      <c r="D148" t="s">
        <v>32</v>
      </c>
      <c r="E148" t="s">
        <v>33</v>
      </c>
      <c r="F148" t="s">
        <v>46</v>
      </c>
      <c r="G148" t="s">
        <v>94</v>
      </c>
      <c r="H148" t="s">
        <v>95</v>
      </c>
      <c r="I148">
        <v>43044</v>
      </c>
      <c r="J148">
        <v>5</v>
      </c>
      <c r="K148" t="s">
        <v>28</v>
      </c>
      <c r="L148">
        <v>6826.37</v>
      </c>
    </row>
    <row r="149" spans="1:12" x14ac:dyDescent="0.3">
      <c r="A149" t="s">
        <v>333</v>
      </c>
      <c r="B149" t="s">
        <v>334</v>
      </c>
      <c r="C149" t="s">
        <v>31</v>
      </c>
      <c r="D149" t="s">
        <v>32</v>
      </c>
      <c r="E149" t="s">
        <v>116</v>
      </c>
      <c r="F149" t="s">
        <v>25</v>
      </c>
      <c r="G149" t="s">
        <v>26</v>
      </c>
      <c r="H149" t="s">
        <v>27</v>
      </c>
      <c r="I149">
        <v>23140</v>
      </c>
      <c r="J149">
        <v>5</v>
      </c>
      <c r="K149" t="s">
        <v>28</v>
      </c>
      <c r="L149">
        <v>3666.06</v>
      </c>
    </row>
    <row r="150" spans="1:12" x14ac:dyDescent="0.3">
      <c r="A150" t="s">
        <v>335</v>
      </c>
      <c r="B150" t="s">
        <v>336</v>
      </c>
      <c r="C150" t="s">
        <v>91</v>
      </c>
      <c r="D150" t="s">
        <v>32</v>
      </c>
      <c r="E150" t="s">
        <v>33</v>
      </c>
      <c r="F150" t="s">
        <v>46</v>
      </c>
      <c r="G150" t="s">
        <v>94</v>
      </c>
      <c r="H150" t="s">
        <v>95</v>
      </c>
      <c r="I150">
        <v>1084</v>
      </c>
      <c r="J150">
        <v>9</v>
      </c>
      <c r="K150" t="s">
        <v>53</v>
      </c>
      <c r="L150">
        <v>145.63</v>
      </c>
    </row>
    <row r="151" spans="1:12" x14ac:dyDescent="0.3">
      <c r="A151" t="s">
        <v>337</v>
      </c>
      <c r="B151" t="s">
        <v>338</v>
      </c>
      <c r="C151" t="s">
        <v>72</v>
      </c>
      <c r="D151" t="s">
        <v>23</v>
      </c>
      <c r="E151" t="s">
        <v>129</v>
      </c>
      <c r="F151" t="s">
        <v>17</v>
      </c>
      <c r="G151" t="s">
        <v>18</v>
      </c>
      <c r="H151" t="s">
        <v>19</v>
      </c>
      <c r="I151">
        <v>42656</v>
      </c>
      <c r="J151">
        <v>4</v>
      </c>
      <c r="K151" t="s">
        <v>34</v>
      </c>
      <c r="L151">
        <v>7814.42</v>
      </c>
    </row>
    <row r="152" spans="1:12" x14ac:dyDescent="0.3">
      <c r="A152" t="s">
        <v>339</v>
      </c>
      <c r="B152" t="s">
        <v>340</v>
      </c>
      <c r="C152" t="s">
        <v>56</v>
      </c>
      <c r="D152" t="s">
        <v>15</v>
      </c>
      <c r="E152" t="s">
        <v>154</v>
      </c>
      <c r="F152" t="s">
        <v>46</v>
      </c>
      <c r="G152" t="s">
        <v>47</v>
      </c>
      <c r="H152" t="s">
        <v>48</v>
      </c>
      <c r="I152">
        <v>74932</v>
      </c>
      <c r="J152">
        <v>7</v>
      </c>
      <c r="K152" t="s">
        <v>53</v>
      </c>
      <c r="L152">
        <v>8303.02</v>
      </c>
    </row>
    <row r="153" spans="1:12" x14ac:dyDescent="0.3">
      <c r="A153" t="s">
        <v>341</v>
      </c>
      <c r="B153" t="s">
        <v>90</v>
      </c>
      <c r="C153" t="s">
        <v>37</v>
      </c>
      <c r="D153" t="s">
        <v>38</v>
      </c>
      <c r="E153" t="s">
        <v>67</v>
      </c>
      <c r="F153" t="s">
        <v>46</v>
      </c>
      <c r="G153" t="s">
        <v>47</v>
      </c>
      <c r="H153" t="s">
        <v>48</v>
      </c>
      <c r="I153">
        <v>36804</v>
      </c>
      <c r="J153">
        <v>9</v>
      </c>
      <c r="K153" t="s">
        <v>20</v>
      </c>
      <c r="L153">
        <v>4687.13</v>
      </c>
    </row>
    <row r="154" spans="1:12" x14ac:dyDescent="0.3">
      <c r="A154" t="s">
        <v>342</v>
      </c>
      <c r="B154" t="s">
        <v>343</v>
      </c>
      <c r="C154" t="s">
        <v>31</v>
      </c>
      <c r="D154" t="s">
        <v>23</v>
      </c>
      <c r="E154" t="s">
        <v>129</v>
      </c>
      <c r="F154" t="s">
        <v>17</v>
      </c>
      <c r="G154" t="s">
        <v>18</v>
      </c>
      <c r="H154" t="s">
        <v>19</v>
      </c>
      <c r="I154">
        <v>59851</v>
      </c>
      <c r="J154">
        <v>9</v>
      </c>
      <c r="K154" t="s">
        <v>20</v>
      </c>
      <c r="L154">
        <v>11362.58</v>
      </c>
    </row>
    <row r="155" spans="1:12" x14ac:dyDescent="0.3">
      <c r="A155" t="s">
        <v>344</v>
      </c>
      <c r="B155" t="s">
        <v>345</v>
      </c>
      <c r="C155" t="s">
        <v>91</v>
      </c>
      <c r="D155" t="s">
        <v>38</v>
      </c>
      <c r="E155" t="s">
        <v>52</v>
      </c>
      <c r="F155" t="s">
        <v>46</v>
      </c>
      <c r="G155" t="s">
        <v>94</v>
      </c>
      <c r="H155" t="s">
        <v>95</v>
      </c>
      <c r="I155">
        <v>40833</v>
      </c>
      <c r="J155">
        <v>4</v>
      </c>
      <c r="K155" t="s">
        <v>34</v>
      </c>
      <c r="L155">
        <v>9390.7199999999993</v>
      </c>
    </row>
    <row r="156" spans="1:12" x14ac:dyDescent="0.3">
      <c r="A156" t="s">
        <v>346</v>
      </c>
      <c r="B156" t="s">
        <v>118</v>
      </c>
      <c r="C156" t="s">
        <v>91</v>
      </c>
      <c r="D156" t="s">
        <v>38</v>
      </c>
      <c r="E156" t="s">
        <v>67</v>
      </c>
      <c r="F156" t="s">
        <v>46</v>
      </c>
      <c r="G156" t="s">
        <v>94</v>
      </c>
      <c r="H156" t="s">
        <v>95</v>
      </c>
      <c r="I156">
        <v>54695</v>
      </c>
      <c r="J156">
        <v>7</v>
      </c>
      <c r="K156" t="s">
        <v>49</v>
      </c>
      <c r="L156">
        <v>13976.41</v>
      </c>
    </row>
    <row r="157" spans="1:12" x14ac:dyDescent="0.3">
      <c r="A157" t="s">
        <v>347</v>
      </c>
      <c r="B157" t="s">
        <v>348</v>
      </c>
      <c r="C157" t="s">
        <v>121</v>
      </c>
      <c r="D157" t="s">
        <v>32</v>
      </c>
      <c r="E157" t="s">
        <v>33</v>
      </c>
      <c r="F157" t="s">
        <v>46</v>
      </c>
      <c r="G157" t="s">
        <v>94</v>
      </c>
      <c r="H157" t="s">
        <v>95</v>
      </c>
      <c r="I157">
        <v>44504</v>
      </c>
      <c r="J157">
        <v>3</v>
      </c>
      <c r="K157" t="s">
        <v>28</v>
      </c>
      <c r="L157">
        <v>8785.81</v>
      </c>
    </row>
    <row r="158" spans="1:12" x14ac:dyDescent="0.3">
      <c r="A158" t="s">
        <v>349</v>
      </c>
      <c r="B158" t="s">
        <v>51</v>
      </c>
      <c r="C158" t="s">
        <v>91</v>
      </c>
      <c r="D158" t="s">
        <v>23</v>
      </c>
      <c r="E158" t="s">
        <v>24</v>
      </c>
      <c r="F158" t="s">
        <v>25</v>
      </c>
      <c r="G158" t="s">
        <v>40</v>
      </c>
      <c r="H158" t="s">
        <v>41</v>
      </c>
      <c r="I158">
        <v>1423</v>
      </c>
      <c r="J158">
        <v>5</v>
      </c>
      <c r="K158" t="s">
        <v>28</v>
      </c>
      <c r="L158">
        <v>184.09</v>
      </c>
    </row>
    <row r="159" spans="1:12" x14ac:dyDescent="0.3">
      <c r="A159" t="s">
        <v>350</v>
      </c>
      <c r="B159" t="s">
        <v>351</v>
      </c>
      <c r="C159" t="s">
        <v>91</v>
      </c>
      <c r="D159" t="s">
        <v>38</v>
      </c>
      <c r="E159" t="s">
        <v>52</v>
      </c>
      <c r="F159" t="s">
        <v>17</v>
      </c>
      <c r="G159" t="s">
        <v>76</v>
      </c>
      <c r="H159" t="s">
        <v>77</v>
      </c>
      <c r="I159">
        <v>47767</v>
      </c>
      <c r="J159">
        <v>8</v>
      </c>
      <c r="K159" t="s">
        <v>34</v>
      </c>
      <c r="L159">
        <v>5453.95</v>
      </c>
    </row>
    <row r="160" spans="1:12" x14ac:dyDescent="0.3">
      <c r="A160" t="s">
        <v>352</v>
      </c>
      <c r="B160" t="s">
        <v>353</v>
      </c>
      <c r="C160" t="s">
        <v>14</v>
      </c>
      <c r="D160" t="s">
        <v>15</v>
      </c>
      <c r="E160" t="s">
        <v>154</v>
      </c>
      <c r="F160" t="s">
        <v>17</v>
      </c>
      <c r="G160" t="s">
        <v>76</v>
      </c>
      <c r="H160" t="s">
        <v>77</v>
      </c>
      <c r="I160">
        <v>5097</v>
      </c>
      <c r="J160">
        <v>6</v>
      </c>
      <c r="K160" t="s">
        <v>49</v>
      </c>
      <c r="L160">
        <v>1201.26</v>
      </c>
    </row>
    <row r="161" spans="1:12" x14ac:dyDescent="0.3">
      <c r="A161" t="s">
        <v>354</v>
      </c>
      <c r="B161" t="s">
        <v>184</v>
      </c>
      <c r="C161" t="s">
        <v>44</v>
      </c>
      <c r="D161" t="s">
        <v>23</v>
      </c>
      <c r="E161" t="s">
        <v>129</v>
      </c>
      <c r="F161" t="s">
        <v>17</v>
      </c>
      <c r="G161" t="s">
        <v>76</v>
      </c>
      <c r="H161" t="s">
        <v>77</v>
      </c>
      <c r="I161">
        <v>20713</v>
      </c>
      <c r="J161">
        <v>1</v>
      </c>
      <c r="K161" t="s">
        <v>20</v>
      </c>
      <c r="L161">
        <v>3535.88</v>
      </c>
    </row>
    <row r="162" spans="1:12" x14ac:dyDescent="0.3">
      <c r="A162" t="s">
        <v>355</v>
      </c>
      <c r="B162" t="s">
        <v>356</v>
      </c>
      <c r="C162" t="s">
        <v>37</v>
      </c>
      <c r="D162" t="s">
        <v>23</v>
      </c>
      <c r="E162" t="s">
        <v>82</v>
      </c>
      <c r="F162" t="s">
        <v>17</v>
      </c>
      <c r="G162" t="s">
        <v>104</v>
      </c>
      <c r="H162" t="s">
        <v>105</v>
      </c>
      <c r="I162">
        <v>38229</v>
      </c>
      <c r="J162">
        <v>1</v>
      </c>
      <c r="K162" t="s">
        <v>20</v>
      </c>
      <c r="L162">
        <v>8249.2000000000007</v>
      </c>
    </row>
    <row r="163" spans="1:12" x14ac:dyDescent="0.3">
      <c r="A163" t="s">
        <v>357</v>
      </c>
      <c r="B163" t="s">
        <v>358</v>
      </c>
      <c r="C163" t="s">
        <v>31</v>
      </c>
      <c r="D163" t="s">
        <v>38</v>
      </c>
      <c r="E163" t="s">
        <v>52</v>
      </c>
      <c r="F163" t="s">
        <v>17</v>
      </c>
      <c r="G163" t="s">
        <v>18</v>
      </c>
      <c r="H163" t="s">
        <v>19</v>
      </c>
      <c r="I163">
        <v>29318</v>
      </c>
      <c r="J163">
        <v>9</v>
      </c>
      <c r="K163" t="s">
        <v>20</v>
      </c>
      <c r="L163">
        <v>3288.43</v>
      </c>
    </row>
    <row r="164" spans="1:12" x14ac:dyDescent="0.3">
      <c r="A164" t="s">
        <v>359</v>
      </c>
      <c r="B164" t="s">
        <v>360</v>
      </c>
      <c r="C164" t="s">
        <v>72</v>
      </c>
      <c r="D164" t="s">
        <v>38</v>
      </c>
      <c r="E164" t="s">
        <v>39</v>
      </c>
      <c r="F164" t="s">
        <v>25</v>
      </c>
      <c r="G164" t="s">
        <v>57</v>
      </c>
      <c r="H164" t="s">
        <v>58</v>
      </c>
      <c r="I164">
        <v>14919</v>
      </c>
      <c r="J164">
        <v>2</v>
      </c>
      <c r="K164" t="s">
        <v>49</v>
      </c>
      <c r="L164">
        <v>1653.52</v>
      </c>
    </row>
    <row r="165" spans="1:12" x14ac:dyDescent="0.3">
      <c r="A165" t="s">
        <v>361</v>
      </c>
      <c r="B165" t="s">
        <v>362</v>
      </c>
      <c r="C165" t="s">
        <v>14</v>
      </c>
      <c r="D165" t="s">
        <v>23</v>
      </c>
      <c r="E165" t="s">
        <v>82</v>
      </c>
      <c r="F165" t="s">
        <v>25</v>
      </c>
      <c r="G165" t="s">
        <v>26</v>
      </c>
      <c r="H165" t="s">
        <v>27</v>
      </c>
      <c r="I165">
        <v>40456</v>
      </c>
      <c r="J165">
        <v>8</v>
      </c>
      <c r="K165" t="s">
        <v>53</v>
      </c>
      <c r="L165">
        <v>9631.7000000000007</v>
      </c>
    </row>
    <row r="166" spans="1:12" x14ac:dyDescent="0.3">
      <c r="A166" t="s">
        <v>363</v>
      </c>
      <c r="B166" t="s">
        <v>249</v>
      </c>
      <c r="C166" t="s">
        <v>14</v>
      </c>
      <c r="D166" t="s">
        <v>15</v>
      </c>
      <c r="E166" t="s">
        <v>154</v>
      </c>
      <c r="F166" t="s">
        <v>25</v>
      </c>
      <c r="G166" t="s">
        <v>26</v>
      </c>
      <c r="H166" t="s">
        <v>27</v>
      </c>
      <c r="I166">
        <v>73573</v>
      </c>
      <c r="J166">
        <v>1</v>
      </c>
      <c r="K166" t="s">
        <v>49</v>
      </c>
      <c r="L166">
        <v>20167.16</v>
      </c>
    </row>
    <row r="167" spans="1:12" x14ac:dyDescent="0.3">
      <c r="A167" t="s">
        <v>364</v>
      </c>
      <c r="B167" t="s">
        <v>365</v>
      </c>
      <c r="C167" t="s">
        <v>14</v>
      </c>
      <c r="D167" t="s">
        <v>38</v>
      </c>
      <c r="E167" t="s">
        <v>67</v>
      </c>
      <c r="F167" t="s">
        <v>17</v>
      </c>
      <c r="G167" t="s">
        <v>18</v>
      </c>
      <c r="H167" t="s">
        <v>19</v>
      </c>
      <c r="I167">
        <v>36845</v>
      </c>
      <c r="J167">
        <v>1</v>
      </c>
      <c r="K167" t="s">
        <v>20</v>
      </c>
      <c r="L167">
        <v>9852.17</v>
      </c>
    </row>
    <row r="168" spans="1:12" x14ac:dyDescent="0.3">
      <c r="A168" t="s">
        <v>366</v>
      </c>
      <c r="B168" t="s">
        <v>367</v>
      </c>
      <c r="C168" t="s">
        <v>37</v>
      </c>
      <c r="D168" t="s">
        <v>32</v>
      </c>
      <c r="E168" t="s">
        <v>116</v>
      </c>
      <c r="F168" t="s">
        <v>25</v>
      </c>
      <c r="G168" t="s">
        <v>26</v>
      </c>
      <c r="H168" t="s">
        <v>27</v>
      </c>
      <c r="I168">
        <v>68502</v>
      </c>
      <c r="J168">
        <v>3</v>
      </c>
      <c r="K168" t="s">
        <v>28</v>
      </c>
      <c r="L168">
        <v>5245.4</v>
      </c>
    </row>
    <row r="169" spans="1:12" x14ac:dyDescent="0.3">
      <c r="A169" t="s">
        <v>368</v>
      </c>
      <c r="B169" t="s">
        <v>369</v>
      </c>
      <c r="C169" t="s">
        <v>121</v>
      </c>
      <c r="D169" t="s">
        <v>38</v>
      </c>
      <c r="E169" t="s">
        <v>52</v>
      </c>
      <c r="F169" t="s">
        <v>25</v>
      </c>
      <c r="G169" t="s">
        <v>57</v>
      </c>
      <c r="H169" t="s">
        <v>58</v>
      </c>
      <c r="I169">
        <v>22132</v>
      </c>
      <c r="J169">
        <v>8</v>
      </c>
      <c r="K169" t="s">
        <v>28</v>
      </c>
      <c r="L169">
        <v>1729.91</v>
      </c>
    </row>
    <row r="170" spans="1:12" x14ac:dyDescent="0.3">
      <c r="A170" t="s">
        <v>370</v>
      </c>
      <c r="B170" t="s">
        <v>371</v>
      </c>
      <c r="C170" t="s">
        <v>72</v>
      </c>
      <c r="D170" t="s">
        <v>38</v>
      </c>
      <c r="E170" t="s">
        <v>67</v>
      </c>
      <c r="F170" t="s">
        <v>17</v>
      </c>
      <c r="G170" t="s">
        <v>76</v>
      </c>
      <c r="H170" t="s">
        <v>77</v>
      </c>
      <c r="I170">
        <v>30241</v>
      </c>
      <c r="J170">
        <v>3</v>
      </c>
      <c r="K170" t="s">
        <v>49</v>
      </c>
      <c r="L170">
        <v>8190.02</v>
      </c>
    </row>
    <row r="171" spans="1:12" x14ac:dyDescent="0.3">
      <c r="A171" t="s">
        <v>372</v>
      </c>
      <c r="B171" t="s">
        <v>373</v>
      </c>
      <c r="C171" t="s">
        <v>31</v>
      </c>
      <c r="D171" t="s">
        <v>38</v>
      </c>
      <c r="E171" t="s">
        <v>39</v>
      </c>
      <c r="F171" t="s">
        <v>17</v>
      </c>
      <c r="G171" t="s">
        <v>104</v>
      </c>
      <c r="H171" t="s">
        <v>105</v>
      </c>
      <c r="I171">
        <v>7148</v>
      </c>
      <c r="J171">
        <v>8</v>
      </c>
      <c r="K171" t="s">
        <v>49</v>
      </c>
      <c r="L171">
        <v>1618.63</v>
      </c>
    </row>
    <row r="172" spans="1:12" x14ac:dyDescent="0.3">
      <c r="A172" t="s">
        <v>374</v>
      </c>
      <c r="B172" t="s">
        <v>375</v>
      </c>
      <c r="C172" t="s">
        <v>63</v>
      </c>
      <c r="D172" t="s">
        <v>23</v>
      </c>
      <c r="E172" t="s">
        <v>129</v>
      </c>
      <c r="F172" t="s">
        <v>17</v>
      </c>
      <c r="G172" t="s">
        <v>76</v>
      </c>
      <c r="H172" t="s">
        <v>77</v>
      </c>
      <c r="I172">
        <v>29915</v>
      </c>
      <c r="J172">
        <v>6</v>
      </c>
      <c r="K172" t="s">
        <v>34</v>
      </c>
      <c r="L172">
        <v>7325.59</v>
      </c>
    </row>
    <row r="173" spans="1:12" x14ac:dyDescent="0.3">
      <c r="A173" t="s">
        <v>376</v>
      </c>
      <c r="B173" t="s">
        <v>377</v>
      </c>
      <c r="C173" t="s">
        <v>66</v>
      </c>
      <c r="D173" t="s">
        <v>38</v>
      </c>
      <c r="E173" t="s">
        <v>39</v>
      </c>
      <c r="F173" t="s">
        <v>17</v>
      </c>
      <c r="G173" t="s">
        <v>18</v>
      </c>
      <c r="H173" t="s">
        <v>19</v>
      </c>
      <c r="I173">
        <v>35983</v>
      </c>
      <c r="J173">
        <v>1</v>
      </c>
      <c r="K173" t="s">
        <v>28</v>
      </c>
      <c r="L173">
        <v>8265.91</v>
      </c>
    </row>
    <row r="174" spans="1:12" x14ac:dyDescent="0.3">
      <c r="A174" t="s">
        <v>378</v>
      </c>
      <c r="B174" t="s">
        <v>379</v>
      </c>
      <c r="C174" t="s">
        <v>72</v>
      </c>
      <c r="D174" t="s">
        <v>23</v>
      </c>
      <c r="E174" t="s">
        <v>82</v>
      </c>
      <c r="F174" t="s">
        <v>25</v>
      </c>
      <c r="G174" t="s">
        <v>40</v>
      </c>
      <c r="H174" t="s">
        <v>41</v>
      </c>
      <c r="I174">
        <v>54146</v>
      </c>
      <c r="J174">
        <v>2</v>
      </c>
      <c r="K174" t="s">
        <v>49</v>
      </c>
      <c r="L174">
        <v>5252.42</v>
      </c>
    </row>
    <row r="175" spans="1:12" x14ac:dyDescent="0.3">
      <c r="A175" t="s">
        <v>380</v>
      </c>
      <c r="B175" t="s">
        <v>381</v>
      </c>
      <c r="C175" t="s">
        <v>37</v>
      </c>
      <c r="D175" t="s">
        <v>15</v>
      </c>
      <c r="E175" t="s">
        <v>73</v>
      </c>
      <c r="F175" t="s">
        <v>25</v>
      </c>
      <c r="G175" t="s">
        <v>40</v>
      </c>
      <c r="H175" t="s">
        <v>41</v>
      </c>
      <c r="I175">
        <v>3883</v>
      </c>
      <c r="J175">
        <v>4</v>
      </c>
      <c r="K175" t="s">
        <v>53</v>
      </c>
      <c r="L175">
        <v>716.14</v>
      </c>
    </row>
    <row r="176" spans="1:12" x14ac:dyDescent="0.3">
      <c r="A176" t="s">
        <v>382</v>
      </c>
      <c r="B176" t="s">
        <v>348</v>
      </c>
      <c r="C176" t="s">
        <v>66</v>
      </c>
      <c r="D176" t="s">
        <v>15</v>
      </c>
      <c r="E176" t="s">
        <v>16</v>
      </c>
      <c r="F176" t="s">
        <v>17</v>
      </c>
      <c r="G176" t="s">
        <v>18</v>
      </c>
      <c r="H176" t="s">
        <v>19</v>
      </c>
      <c r="I176">
        <v>75993</v>
      </c>
      <c r="J176">
        <v>1</v>
      </c>
      <c r="K176" t="s">
        <v>49</v>
      </c>
      <c r="L176">
        <v>19526.48</v>
      </c>
    </row>
    <row r="177" spans="1:12" x14ac:dyDescent="0.3">
      <c r="A177" t="s">
        <v>383</v>
      </c>
      <c r="B177" t="s">
        <v>384</v>
      </c>
      <c r="C177" t="s">
        <v>121</v>
      </c>
      <c r="D177" t="s">
        <v>23</v>
      </c>
      <c r="E177" t="s">
        <v>82</v>
      </c>
      <c r="F177" t="s">
        <v>17</v>
      </c>
      <c r="G177" t="s">
        <v>76</v>
      </c>
      <c r="H177" t="s">
        <v>77</v>
      </c>
      <c r="I177">
        <v>39651</v>
      </c>
      <c r="J177">
        <v>10</v>
      </c>
      <c r="K177" t="s">
        <v>53</v>
      </c>
      <c r="L177">
        <v>7095.31</v>
      </c>
    </row>
    <row r="178" spans="1:12" x14ac:dyDescent="0.3">
      <c r="A178" t="s">
        <v>385</v>
      </c>
      <c r="B178" t="s">
        <v>220</v>
      </c>
      <c r="C178" t="s">
        <v>121</v>
      </c>
      <c r="D178" t="s">
        <v>23</v>
      </c>
      <c r="E178" t="s">
        <v>129</v>
      </c>
      <c r="F178" t="s">
        <v>17</v>
      </c>
      <c r="G178" t="s">
        <v>76</v>
      </c>
      <c r="H178" t="s">
        <v>77</v>
      </c>
      <c r="I178">
        <v>73860</v>
      </c>
      <c r="J178">
        <v>6</v>
      </c>
      <c r="K178" t="s">
        <v>20</v>
      </c>
      <c r="L178">
        <v>6757.89</v>
      </c>
    </row>
    <row r="179" spans="1:12" x14ac:dyDescent="0.3">
      <c r="A179" t="s">
        <v>386</v>
      </c>
      <c r="B179" t="s">
        <v>387</v>
      </c>
      <c r="C179" t="s">
        <v>63</v>
      </c>
      <c r="D179" t="s">
        <v>15</v>
      </c>
      <c r="E179" t="s">
        <v>154</v>
      </c>
      <c r="F179" t="s">
        <v>25</v>
      </c>
      <c r="G179" t="s">
        <v>26</v>
      </c>
      <c r="H179" t="s">
        <v>27</v>
      </c>
      <c r="I179">
        <v>33628</v>
      </c>
      <c r="J179">
        <v>7</v>
      </c>
      <c r="K179" t="s">
        <v>49</v>
      </c>
      <c r="L179">
        <v>7974.23</v>
      </c>
    </row>
    <row r="180" spans="1:12" x14ac:dyDescent="0.3">
      <c r="A180" t="s">
        <v>388</v>
      </c>
      <c r="B180" t="s">
        <v>180</v>
      </c>
      <c r="C180" t="s">
        <v>72</v>
      </c>
      <c r="D180" t="s">
        <v>23</v>
      </c>
      <c r="E180" t="s">
        <v>129</v>
      </c>
      <c r="F180" t="s">
        <v>46</v>
      </c>
      <c r="G180" t="s">
        <v>47</v>
      </c>
      <c r="H180" t="s">
        <v>48</v>
      </c>
      <c r="I180">
        <v>76361</v>
      </c>
      <c r="J180">
        <v>4</v>
      </c>
      <c r="K180" t="s">
        <v>28</v>
      </c>
      <c r="L180">
        <v>9323.98</v>
      </c>
    </row>
    <row r="181" spans="1:12" x14ac:dyDescent="0.3">
      <c r="A181" t="s">
        <v>389</v>
      </c>
      <c r="B181" t="s">
        <v>390</v>
      </c>
      <c r="C181" t="s">
        <v>121</v>
      </c>
      <c r="D181" t="s">
        <v>23</v>
      </c>
      <c r="E181" t="s">
        <v>129</v>
      </c>
      <c r="F181" t="s">
        <v>25</v>
      </c>
      <c r="G181" t="s">
        <v>26</v>
      </c>
      <c r="H181" t="s">
        <v>27</v>
      </c>
      <c r="I181">
        <v>13305</v>
      </c>
      <c r="J181">
        <v>5</v>
      </c>
      <c r="K181" t="s">
        <v>20</v>
      </c>
      <c r="L181">
        <v>3698.95</v>
      </c>
    </row>
    <row r="182" spans="1:12" x14ac:dyDescent="0.3">
      <c r="A182" t="s">
        <v>391</v>
      </c>
      <c r="B182" t="s">
        <v>392</v>
      </c>
      <c r="C182" t="s">
        <v>31</v>
      </c>
      <c r="D182" t="s">
        <v>38</v>
      </c>
      <c r="E182" t="s">
        <v>39</v>
      </c>
      <c r="F182" t="s">
        <v>17</v>
      </c>
      <c r="G182" t="s">
        <v>76</v>
      </c>
      <c r="H182" t="s">
        <v>77</v>
      </c>
      <c r="I182">
        <v>39183</v>
      </c>
      <c r="J182">
        <v>7</v>
      </c>
      <c r="K182" t="s">
        <v>53</v>
      </c>
      <c r="L182">
        <v>8559.33</v>
      </c>
    </row>
    <row r="183" spans="1:12" x14ac:dyDescent="0.3">
      <c r="A183" t="s">
        <v>393</v>
      </c>
      <c r="B183" t="s">
        <v>394</v>
      </c>
      <c r="C183" t="s">
        <v>91</v>
      </c>
      <c r="D183" t="s">
        <v>15</v>
      </c>
      <c r="E183" t="s">
        <v>16</v>
      </c>
      <c r="F183" t="s">
        <v>25</v>
      </c>
      <c r="G183" t="s">
        <v>26</v>
      </c>
      <c r="H183" t="s">
        <v>27</v>
      </c>
      <c r="I183">
        <v>53670</v>
      </c>
      <c r="J183">
        <v>9</v>
      </c>
      <c r="K183" t="s">
        <v>49</v>
      </c>
      <c r="L183">
        <v>12735.12</v>
      </c>
    </row>
    <row r="184" spans="1:12" x14ac:dyDescent="0.3">
      <c r="A184" t="s">
        <v>395</v>
      </c>
      <c r="B184" t="s">
        <v>128</v>
      </c>
      <c r="C184" t="s">
        <v>66</v>
      </c>
      <c r="D184" t="s">
        <v>32</v>
      </c>
      <c r="E184" t="s">
        <v>45</v>
      </c>
      <c r="F184" t="s">
        <v>46</v>
      </c>
      <c r="G184" t="s">
        <v>87</v>
      </c>
      <c r="H184" t="s">
        <v>88</v>
      </c>
      <c r="I184">
        <v>31194</v>
      </c>
      <c r="J184">
        <v>8</v>
      </c>
      <c r="K184" t="s">
        <v>53</v>
      </c>
      <c r="L184">
        <v>4762.42</v>
      </c>
    </row>
    <row r="185" spans="1:12" x14ac:dyDescent="0.3">
      <c r="A185" t="s">
        <v>396</v>
      </c>
      <c r="B185" t="s">
        <v>397</v>
      </c>
      <c r="C185" t="s">
        <v>56</v>
      </c>
      <c r="D185" t="s">
        <v>23</v>
      </c>
      <c r="E185" t="s">
        <v>24</v>
      </c>
      <c r="F185" t="s">
        <v>46</v>
      </c>
      <c r="G185" t="s">
        <v>94</v>
      </c>
      <c r="H185" t="s">
        <v>95</v>
      </c>
      <c r="I185">
        <v>42947</v>
      </c>
      <c r="J185">
        <v>6</v>
      </c>
      <c r="K185" t="s">
        <v>28</v>
      </c>
      <c r="L185">
        <v>9638.75</v>
      </c>
    </row>
    <row r="186" spans="1:12" x14ac:dyDescent="0.3">
      <c r="A186" t="s">
        <v>398</v>
      </c>
      <c r="B186" t="s">
        <v>399</v>
      </c>
      <c r="C186" t="s">
        <v>14</v>
      </c>
      <c r="D186" t="s">
        <v>23</v>
      </c>
      <c r="E186" t="s">
        <v>24</v>
      </c>
      <c r="F186" t="s">
        <v>46</v>
      </c>
      <c r="G186" t="s">
        <v>87</v>
      </c>
      <c r="H186" t="s">
        <v>88</v>
      </c>
      <c r="I186">
        <v>2966</v>
      </c>
      <c r="J186">
        <v>1</v>
      </c>
      <c r="K186" t="s">
        <v>49</v>
      </c>
      <c r="L186">
        <v>454.62</v>
      </c>
    </row>
    <row r="187" spans="1:12" x14ac:dyDescent="0.3">
      <c r="A187" t="s">
        <v>400</v>
      </c>
      <c r="B187" t="s">
        <v>401</v>
      </c>
      <c r="C187" t="s">
        <v>14</v>
      </c>
      <c r="D187" t="s">
        <v>23</v>
      </c>
      <c r="E187" t="s">
        <v>24</v>
      </c>
      <c r="F187" t="s">
        <v>25</v>
      </c>
      <c r="G187" t="s">
        <v>40</v>
      </c>
      <c r="H187" t="s">
        <v>41</v>
      </c>
      <c r="I187">
        <v>48509</v>
      </c>
      <c r="J187">
        <v>10</v>
      </c>
      <c r="K187" t="s">
        <v>49</v>
      </c>
      <c r="L187">
        <v>7673.42</v>
      </c>
    </row>
    <row r="188" spans="1:12" x14ac:dyDescent="0.3">
      <c r="A188" t="s">
        <v>402</v>
      </c>
      <c r="B188" t="s">
        <v>371</v>
      </c>
      <c r="C188" t="s">
        <v>91</v>
      </c>
      <c r="D188" t="s">
        <v>15</v>
      </c>
      <c r="E188" t="s">
        <v>73</v>
      </c>
      <c r="F188" t="s">
        <v>46</v>
      </c>
      <c r="G188" t="s">
        <v>87</v>
      </c>
      <c r="H188" t="s">
        <v>88</v>
      </c>
      <c r="I188">
        <v>23003</v>
      </c>
      <c r="J188">
        <v>10</v>
      </c>
      <c r="K188" t="s">
        <v>20</v>
      </c>
      <c r="L188">
        <v>5306.94</v>
      </c>
    </row>
    <row r="189" spans="1:12" x14ac:dyDescent="0.3">
      <c r="A189" t="s">
        <v>403</v>
      </c>
      <c r="B189" t="s">
        <v>330</v>
      </c>
      <c r="C189" t="s">
        <v>44</v>
      </c>
      <c r="D189" t="s">
        <v>15</v>
      </c>
      <c r="E189" t="s">
        <v>73</v>
      </c>
      <c r="F189" t="s">
        <v>25</v>
      </c>
      <c r="G189" t="s">
        <v>57</v>
      </c>
      <c r="H189" t="s">
        <v>58</v>
      </c>
      <c r="I189">
        <v>32323</v>
      </c>
      <c r="J189">
        <v>9</v>
      </c>
      <c r="K189" t="s">
        <v>20</v>
      </c>
      <c r="L189">
        <v>7943.55</v>
      </c>
    </row>
    <row r="190" spans="1:12" x14ac:dyDescent="0.3">
      <c r="A190" t="s">
        <v>404</v>
      </c>
      <c r="B190" t="s">
        <v>135</v>
      </c>
      <c r="C190" t="s">
        <v>91</v>
      </c>
      <c r="D190" t="s">
        <v>23</v>
      </c>
      <c r="E190" t="s">
        <v>82</v>
      </c>
      <c r="F190" t="s">
        <v>17</v>
      </c>
      <c r="G190" t="s">
        <v>76</v>
      </c>
      <c r="H190" t="s">
        <v>77</v>
      </c>
      <c r="I190">
        <v>38647</v>
      </c>
      <c r="J190">
        <v>10</v>
      </c>
      <c r="K190" t="s">
        <v>49</v>
      </c>
      <c r="L190">
        <v>2998.68</v>
      </c>
    </row>
    <row r="191" spans="1:12" x14ac:dyDescent="0.3">
      <c r="A191" t="s">
        <v>405</v>
      </c>
      <c r="B191" t="s">
        <v>406</v>
      </c>
      <c r="C191" t="s">
        <v>63</v>
      </c>
      <c r="D191" t="s">
        <v>32</v>
      </c>
      <c r="E191" t="s">
        <v>33</v>
      </c>
      <c r="F191" t="s">
        <v>25</v>
      </c>
      <c r="G191" t="s">
        <v>57</v>
      </c>
      <c r="H191" t="s">
        <v>58</v>
      </c>
      <c r="I191">
        <v>71703</v>
      </c>
      <c r="J191">
        <v>4</v>
      </c>
      <c r="K191" t="s">
        <v>28</v>
      </c>
      <c r="L191">
        <v>6138.11</v>
      </c>
    </row>
    <row r="192" spans="1:12" x14ac:dyDescent="0.3">
      <c r="A192" t="s">
        <v>407</v>
      </c>
      <c r="B192" t="s">
        <v>191</v>
      </c>
      <c r="C192" t="s">
        <v>31</v>
      </c>
      <c r="D192" t="s">
        <v>15</v>
      </c>
      <c r="E192" t="s">
        <v>16</v>
      </c>
      <c r="F192" t="s">
        <v>25</v>
      </c>
      <c r="G192" t="s">
        <v>26</v>
      </c>
      <c r="H192" t="s">
        <v>27</v>
      </c>
      <c r="I192">
        <v>35981</v>
      </c>
      <c r="J192">
        <v>9</v>
      </c>
      <c r="K192" t="s">
        <v>28</v>
      </c>
      <c r="L192">
        <v>7860.01</v>
      </c>
    </row>
    <row r="193" spans="1:12" x14ac:dyDescent="0.3">
      <c r="A193" t="s">
        <v>408</v>
      </c>
      <c r="B193" t="s">
        <v>268</v>
      </c>
      <c r="C193" t="s">
        <v>44</v>
      </c>
      <c r="D193" t="s">
        <v>15</v>
      </c>
      <c r="E193" t="s">
        <v>16</v>
      </c>
      <c r="F193" t="s">
        <v>17</v>
      </c>
      <c r="G193" t="s">
        <v>76</v>
      </c>
      <c r="H193" t="s">
        <v>77</v>
      </c>
      <c r="I193">
        <v>37464</v>
      </c>
      <c r="J193">
        <v>9</v>
      </c>
      <c r="K193" t="s">
        <v>28</v>
      </c>
      <c r="L193">
        <v>3173.56</v>
      </c>
    </row>
    <row r="194" spans="1:12" x14ac:dyDescent="0.3">
      <c r="A194" t="s">
        <v>409</v>
      </c>
      <c r="B194" t="s">
        <v>410</v>
      </c>
      <c r="C194" t="s">
        <v>72</v>
      </c>
      <c r="D194" t="s">
        <v>15</v>
      </c>
      <c r="E194" t="s">
        <v>154</v>
      </c>
      <c r="F194" t="s">
        <v>17</v>
      </c>
      <c r="G194" t="s">
        <v>18</v>
      </c>
      <c r="H194" t="s">
        <v>19</v>
      </c>
      <c r="I194">
        <v>42598</v>
      </c>
      <c r="J194">
        <v>9</v>
      </c>
      <c r="K194" t="s">
        <v>34</v>
      </c>
      <c r="L194">
        <v>2882.79</v>
      </c>
    </row>
    <row r="195" spans="1:12" x14ac:dyDescent="0.3">
      <c r="A195" t="s">
        <v>411</v>
      </c>
      <c r="B195" t="s">
        <v>251</v>
      </c>
      <c r="C195" t="s">
        <v>63</v>
      </c>
      <c r="D195" t="s">
        <v>32</v>
      </c>
      <c r="E195" t="s">
        <v>116</v>
      </c>
      <c r="F195" t="s">
        <v>17</v>
      </c>
      <c r="G195" t="s">
        <v>104</v>
      </c>
      <c r="H195" t="s">
        <v>105</v>
      </c>
      <c r="I195">
        <v>5617</v>
      </c>
      <c r="J195">
        <v>9</v>
      </c>
      <c r="K195" t="s">
        <v>34</v>
      </c>
      <c r="L195">
        <v>650.4</v>
      </c>
    </row>
    <row r="196" spans="1:12" x14ac:dyDescent="0.3">
      <c r="A196" t="s">
        <v>412</v>
      </c>
      <c r="B196" t="s">
        <v>413</v>
      </c>
      <c r="C196" t="s">
        <v>37</v>
      </c>
      <c r="D196" t="s">
        <v>38</v>
      </c>
      <c r="E196" t="s">
        <v>52</v>
      </c>
      <c r="F196" t="s">
        <v>46</v>
      </c>
      <c r="G196" t="s">
        <v>87</v>
      </c>
      <c r="H196" t="s">
        <v>88</v>
      </c>
      <c r="I196">
        <v>69928</v>
      </c>
      <c r="J196">
        <v>5</v>
      </c>
      <c r="K196" t="s">
        <v>28</v>
      </c>
      <c r="L196">
        <v>9342.7000000000007</v>
      </c>
    </row>
    <row r="197" spans="1:12" x14ac:dyDescent="0.3">
      <c r="A197" t="s">
        <v>414</v>
      </c>
      <c r="B197" t="s">
        <v>257</v>
      </c>
      <c r="C197" t="s">
        <v>72</v>
      </c>
      <c r="D197" t="s">
        <v>32</v>
      </c>
      <c r="E197" t="s">
        <v>116</v>
      </c>
      <c r="F197" t="s">
        <v>46</v>
      </c>
      <c r="G197" t="s">
        <v>94</v>
      </c>
      <c r="H197" t="s">
        <v>95</v>
      </c>
      <c r="I197">
        <v>38589</v>
      </c>
      <c r="J197">
        <v>5</v>
      </c>
      <c r="K197" t="s">
        <v>53</v>
      </c>
      <c r="L197">
        <v>6358.95</v>
      </c>
    </row>
    <row r="198" spans="1:12" x14ac:dyDescent="0.3">
      <c r="A198" t="s">
        <v>415</v>
      </c>
      <c r="B198" t="s">
        <v>416</v>
      </c>
      <c r="C198" t="s">
        <v>66</v>
      </c>
      <c r="D198" t="s">
        <v>38</v>
      </c>
      <c r="E198" t="s">
        <v>67</v>
      </c>
      <c r="F198" t="s">
        <v>17</v>
      </c>
      <c r="G198" t="s">
        <v>104</v>
      </c>
      <c r="H198" t="s">
        <v>105</v>
      </c>
      <c r="I198">
        <v>1167</v>
      </c>
      <c r="J198">
        <v>8</v>
      </c>
      <c r="K198" t="s">
        <v>28</v>
      </c>
      <c r="L198">
        <v>123.38</v>
      </c>
    </row>
    <row r="199" spans="1:12" x14ac:dyDescent="0.3">
      <c r="A199" t="s">
        <v>417</v>
      </c>
      <c r="B199" t="s">
        <v>234</v>
      </c>
      <c r="C199" t="s">
        <v>31</v>
      </c>
      <c r="D199" t="s">
        <v>23</v>
      </c>
      <c r="E199" t="s">
        <v>82</v>
      </c>
      <c r="F199" t="s">
        <v>25</v>
      </c>
      <c r="G199" t="s">
        <v>26</v>
      </c>
      <c r="H199" t="s">
        <v>27</v>
      </c>
      <c r="I199">
        <v>53293</v>
      </c>
      <c r="J199">
        <v>2</v>
      </c>
      <c r="K199" t="s">
        <v>20</v>
      </c>
      <c r="L199">
        <v>11037.01</v>
      </c>
    </row>
    <row r="200" spans="1:12" x14ac:dyDescent="0.3">
      <c r="A200" t="s">
        <v>418</v>
      </c>
      <c r="B200" t="s">
        <v>416</v>
      </c>
      <c r="C200" t="s">
        <v>91</v>
      </c>
      <c r="D200" t="s">
        <v>15</v>
      </c>
      <c r="E200" t="s">
        <v>16</v>
      </c>
      <c r="F200" t="s">
        <v>17</v>
      </c>
      <c r="G200" t="s">
        <v>18</v>
      </c>
      <c r="H200" t="s">
        <v>19</v>
      </c>
      <c r="I200">
        <v>68474</v>
      </c>
      <c r="J200">
        <v>3</v>
      </c>
      <c r="K200" t="s">
        <v>20</v>
      </c>
      <c r="L200">
        <v>16138.03</v>
      </c>
    </row>
    <row r="201" spans="1:12" x14ac:dyDescent="0.3">
      <c r="A201" t="s">
        <v>419</v>
      </c>
      <c r="B201" t="s">
        <v>420</v>
      </c>
      <c r="C201" t="s">
        <v>66</v>
      </c>
      <c r="D201" t="s">
        <v>15</v>
      </c>
      <c r="E201" t="s">
        <v>16</v>
      </c>
      <c r="F201" t="s">
        <v>46</v>
      </c>
      <c r="G201" t="s">
        <v>87</v>
      </c>
      <c r="H201" t="s">
        <v>88</v>
      </c>
      <c r="I201">
        <v>27197</v>
      </c>
      <c r="J201">
        <v>7</v>
      </c>
      <c r="K201" t="s">
        <v>49</v>
      </c>
      <c r="L201">
        <v>5866.1</v>
      </c>
    </row>
    <row r="202" spans="1:12" x14ac:dyDescent="0.3">
      <c r="A202" t="s">
        <v>421</v>
      </c>
      <c r="B202" t="s">
        <v>51</v>
      </c>
      <c r="C202" t="s">
        <v>66</v>
      </c>
      <c r="D202" t="s">
        <v>23</v>
      </c>
      <c r="E202" t="s">
        <v>129</v>
      </c>
      <c r="F202" t="s">
        <v>25</v>
      </c>
      <c r="G202" t="s">
        <v>26</v>
      </c>
      <c r="H202" t="s">
        <v>27</v>
      </c>
      <c r="I202">
        <v>29771</v>
      </c>
      <c r="J202">
        <v>1</v>
      </c>
      <c r="K202" t="s">
        <v>53</v>
      </c>
      <c r="L202">
        <v>2910.49</v>
      </c>
    </row>
    <row r="203" spans="1:12" x14ac:dyDescent="0.3">
      <c r="A203" t="s">
        <v>422</v>
      </c>
      <c r="B203" t="s">
        <v>423</v>
      </c>
      <c r="C203" t="s">
        <v>121</v>
      </c>
      <c r="D203" t="s">
        <v>15</v>
      </c>
      <c r="E203" t="s">
        <v>73</v>
      </c>
      <c r="F203" t="s">
        <v>17</v>
      </c>
      <c r="G203" t="s">
        <v>104</v>
      </c>
      <c r="H203" t="s">
        <v>105</v>
      </c>
      <c r="I203">
        <v>39479</v>
      </c>
      <c r="J203">
        <v>7</v>
      </c>
      <c r="K203" t="s">
        <v>53</v>
      </c>
      <c r="L203">
        <v>7247.87</v>
      </c>
    </row>
    <row r="204" spans="1:12" x14ac:dyDescent="0.3">
      <c r="A204" t="s">
        <v>424</v>
      </c>
      <c r="B204" t="s">
        <v>43</v>
      </c>
      <c r="C204" t="s">
        <v>91</v>
      </c>
      <c r="D204" t="s">
        <v>15</v>
      </c>
      <c r="E204" t="s">
        <v>154</v>
      </c>
      <c r="F204" t="s">
        <v>25</v>
      </c>
      <c r="G204" t="s">
        <v>26</v>
      </c>
      <c r="H204" t="s">
        <v>27</v>
      </c>
      <c r="I204">
        <v>51557</v>
      </c>
      <c r="J204">
        <v>6</v>
      </c>
      <c r="K204" t="s">
        <v>49</v>
      </c>
      <c r="L204">
        <v>7906.34</v>
      </c>
    </row>
    <row r="205" spans="1:12" x14ac:dyDescent="0.3">
      <c r="A205" t="s">
        <v>425</v>
      </c>
      <c r="B205" t="s">
        <v>426</v>
      </c>
      <c r="C205" t="s">
        <v>121</v>
      </c>
      <c r="D205" t="s">
        <v>38</v>
      </c>
      <c r="E205" t="s">
        <v>67</v>
      </c>
      <c r="F205" t="s">
        <v>17</v>
      </c>
      <c r="G205" t="s">
        <v>104</v>
      </c>
      <c r="H205" t="s">
        <v>105</v>
      </c>
      <c r="I205">
        <v>32191</v>
      </c>
      <c r="J205">
        <v>8</v>
      </c>
      <c r="K205" t="s">
        <v>53</v>
      </c>
      <c r="L205">
        <v>4966.68</v>
      </c>
    </row>
    <row r="206" spans="1:12" x14ac:dyDescent="0.3">
      <c r="A206" t="s">
        <v>427</v>
      </c>
      <c r="B206" t="s">
        <v>360</v>
      </c>
      <c r="C206" t="s">
        <v>91</v>
      </c>
      <c r="D206" t="s">
        <v>15</v>
      </c>
      <c r="E206" t="s">
        <v>16</v>
      </c>
      <c r="F206" t="s">
        <v>46</v>
      </c>
      <c r="G206" t="s">
        <v>47</v>
      </c>
      <c r="H206" t="s">
        <v>48</v>
      </c>
      <c r="I206">
        <v>19464</v>
      </c>
      <c r="J206">
        <v>2</v>
      </c>
      <c r="K206" t="s">
        <v>49</v>
      </c>
      <c r="L206">
        <v>4784.8500000000004</v>
      </c>
    </row>
    <row r="207" spans="1:12" x14ac:dyDescent="0.3">
      <c r="A207" t="s">
        <v>428</v>
      </c>
      <c r="B207" t="s">
        <v>381</v>
      </c>
      <c r="C207" t="s">
        <v>63</v>
      </c>
      <c r="D207" t="s">
        <v>38</v>
      </c>
      <c r="E207" t="s">
        <v>52</v>
      </c>
      <c r="F207" t="s">
        <v>17</v>
      </c>
      <c r="G207" t="s">
        <v>76</v>
      </c>
      <c r="H207" t="s">
        <v>77</v>
      </c>
      <c r="I207">
        <v>41224</v>
      </c>
      <c r="J207">
        <v>2</v>
      </c>
      <c r="K207" t="s">
        <v>34</v>
      </c>
      <c r="L207">
        <v>4745.42</v>
      </c>
    </row>
    <row r="208" spans="1:12" x14ac:dyDescent="0.3">
      <c r="A208" t="s">
        <v>429</v>
      </c>
      <c r="B208" t="s">
        <v>430</v>
      </c>
      <c r="C208" t="s">
        <v>121</v>
      </c>
      <c r="D208" t="s">
        <v>23</v>
      </c>
      <c r="E208" t="s">
        <v>24</v>
      </c>
      <c r="F208" t="s">
        <v>17</v>
      </c>
      <c r="G208" t="s">
        <v>18</v>
      </c>
      <c r="H208" t="s">
        <v>19</v>
      </c>
      <c r="I208">
        <v>45696</v>
      </c>
      <c r="J208">
        <v>3</v>
      </c>
      <c r="K208" t="s">
        <v>20</v>
      </c>
      <c r="L208">
        <v>10236.31</v>
      </c>
    </row>
    <row r="209" spans="1:12" x14ac:dyDescent="0.3">
      <c r="A209" t="s">
        <v>431</v>
      </c>
      <c r="B209" t="s">
        <v>356</v>
      </c>
      <c r="C209" t="s">
        <v>56</v>
      </c>
      <c r="D209" t="s">
        <v>15</v>
      </c>
      <c r="E209" t="s">
        <v>16</v>
      </c>
      <c r="F209" t="s">
        <v>25</v>
      </c>
      <c r="G209" t="s">
        <v>57</v>
      </c>
      <c r="H209" t="s">
        <v>58</v>
      </c>
      <c r="I209">
        <v>41690</v>
      </c>
      <c r="J209">
        <v>8</v>
      </c>
      <c r="K209" t="s">
        <v>49</v>
      </c>
      <c r="L209">
        <v>9045.8700000000008</v>
      </c>
    </row>
    <row r="210" spans="1:12" x14ac:dyDescent="0.3">
      <c r="A210" t="s">
        <v>432</v>
      </c>
      <c r="B210" t="s">
        <v>433</v>
      </c>
      <c r="C210" t="s">
        <v>37</v>
      </c>
      <c r="D210" t="s">
        <v>15</v>
      </c>
      <c r="E210" t="s">
        <v>16</v>
      </c>
      <c r="F210" t="s">
        <v>46</v>
      </c>
      <c r="G210" t="s">
        <v>87</v>
      </c>
      <c r="H210" t="s">
        <v>88</v>
      </c>
      <c r="I210">
        <v>69457</v>
      </c>
      <c r="J210">
        <v>9</v>
      </c>
      <c r="K210" t="s">
        <v>34</v>
      </c>
      <c r="L210">
        <v>10512.2</v>
      </c>
    </row>
    <row r="211" spans="1:12" x14ac:dyDescent="0.3">
      <c r="A211" t="s">
        <v>434</v>
      </c>
      <c r="B211" t="s">
        <v>139</v>
      </c>
      <c r="C211" t="s">
        <v>72</v>
      </c>
      <c r="D211" t="s">
        <v>15</v>
      </c>
      <c r="E211" t="s">
        <v>73</v>
      </c>
      <c r="F211" t="s">
        <v>25</v>
      </c>
      <c r="G211" t="s">
        <v>57</v>
      </c>
      <c r="H211" t="s">
        <v>58</v>
      </c>
      <c r="I211">
        <v>60281</v>
      </c>
      <c r="J211">
        <v>4</v>
      </c>
      <c r="K211" t="s">
        <v>28</v>
      </c>
      <c r="L211">
        <v>15409.69</v>
      </c>
    </row>
    <row r="212" spans="1:12" x14ac:dyDescent="0.3">
      <c r="A212" t="s">
        <v>435</v>
      </c>
      <c r="B212" t="s">
        <v>399</v>
      </c>
      <c r="C212" t="s">
        <v>56</v>
      </c>
      <c r="D212" t="s">
        <v>38</v>
      </c>
      <c r="E212" t="s">
        <v>52</v>
      </c>
      <c r="F212" t="s">
        <v>25</v>
      </c>
      <c r="G212" t="s">
        <v>26</v>
      </c>
      <c r="H212" t="s">
        <v>27</v>
      </c>
      <c r="I212">
        <v>66068</v>
      </c>
      <c r="J212">
        <v>9</v>
      </c>
      <c r="K212" t="s">
        <v>28</v>
      </c>
      <c r="L212">
        <v>14629.47</v>
      </c>
    </row>
    <row r="213" spans="1:12" x14ac:dyDescent="0.3">
      <c r="A213" t="s">
        <v>436</v>
      </c>
      <c r="B213" t="s">
        <v>437</v>
      </c>
      <c r="C213" t="s">
        <v>56</v>
      </c>
      <c r="D213" t="s">
        <v>15</v>
      </c>
      <c r="E213" t="s">
        <v>16</v>
      </c>
      <c r="F213" t="s">
        <v>46</v>
      </c>
      <c r="G213" t="s">
        <v>87</v>
      </c>
      <c r="H213" t="s">
        <v>88</v>
      </c>
      <c r="I213">
        <v>53800</v>
      </c>
      <c r="J213">
        <v>1</v>
      </c>
      <c r="K213" t="s">
        <v>53</v>
      </c>
      <c r="L213">
        <v>6838.32</v>
      </c>
    </row>
    <row r="214" spans="1:12" x14ac:dyDescent="0.3">
      <c r="A214" t="s">
        <v>438</v>
      </c>
      <c r="B214" t="s">
        <v>439</v>
      </c>
      <c r="C214" t="s">
        <v>72</v>
      </c>
      <c r="D214" t="s">
        <v>23</v>
      </c>
      <c r="E214" t="s">
        <v>24</v>
      </c>
      <c r="F214" t="s">
        <v>46</v>
      </c>
      <c r="G214" t="s">
        <v>87</v>
      </c>
      <c r="H214" t="s">
        <v>88</v>
      </c>
      <c r="I214">
        <v>31512</v>
      </c>
      <c r="J214">
        <v>10</v>
      </c>
      <c r="K214" t="s">
        <v>53</v>
      </c>
      <c r="L214">
        <v>8433.5300000000007</v>
      </c>
    </row>
    <row r="215" spans="1:12" x14ac:dyDescent="0.3">
      <c r="A215" t="s">
        <v>440</v>
      </c>
      <c r="B215" t="s">
        <v>274</v>
      </c>
      <c r="C215" t="s">
        <v>121</v>
      </c>
      <c r="D215" t="s">
        <v>38</v>
      </c>
      <c r="E215" t="s">
        <v>39</v>
      </c>
      <c r="F215" t="s">
        <v>46</v>
      </c>
      <c r="G215" t="s">
        <v>87</v>
      </c>
      <c r="H215" t="s">
        <v>88</v>
      </c>
      <c r="I215">
        <v>2511</v>
      </c>
      <c r="J215">
        <v>3</v>
      </c>
      <c r="K215" t="s">
        <v>20</v>
      </c>
      <c r="L215">
        <v>521.12</v>
      </c>
    </row>
    <row r="216" spans="1:12" x14ac:dyDescent="0.3">
      <c r="A216" t="s">
        <v>441</v>
      </c>
      <c r="B216" t="s">
        <v>22</v>
      </c>
      <c r="C216" t="s">
        <v>31</v>
      </c>
      <c r="D216" t="s">
        <v>38</v>
      </c>
      <c r="E216" t="s">
        <v>39</v>
      </c>
      <c r="F216" t="s">
        <v>25</v>
      </c>
      <c r="G216" t="s">
        <v>57</v>
      </c>
      <c r="H216" t="s">
        <v>58</v>
      </c>
      <c r="I216">
        <v>71051</v>
      </c>
      <c r="J216">
        <v>2</v>
      </c>
      <c r="K216" t="s">
        <v>34</v>
      </c>
      <c r="L216">
        <v>10108.81</v>
      </c>
    </row>
    <row r="217" spans="1:12" x14ac:dyDescent="0.3">
      <c r="A217" t="s">
        <v>442</v>
      </c>
      <c r="B217" t="s">
        <v>443</v>
      </c>
      <c r="C217" t="s">
        <v>37</v>
      </c>
      <c r="D217" t="s">
        <v>32</v>
      </c>
      <c r="E217" t="s">
        <v>45</v>
      </c>
      <c r="F217" t="s">
        <v>17</v>
      </c>
      <c r="G217" t="s">
        <v>76</v>
      </c>
      <c r="H217" t="s">
        <v>77</v>
      </c>
      <c r="I217">
        <v>79054</v>
      </c>
      <c r="J217">
        <v>6</v>
      </c>
      <c r="K217" t="s">
        <v>49</v>
      </c>
      <c r="L217">
        <v>20547.46</v>
      </c>
    </row>
    <row r="218" spans="1:12" x14ac:dyDescent="0.3">
      <c r="A218" t="s">
        <v>444</v>
      </c>
      <c r="B218" t="s">
        <v>445</v>
      </c>
      <c r="C218" t="s">
        <v>14</v>
      </c>
      <c r="D218" t="s">
        <v>23</v>
      </c>
      <c r="E218" t="s">
        <v>24</v>
      </c>
      <c r="F218" t="s">
        <v>46</v>
      </c>
      <c r="G218" t="s">
        <v>94</v>
      </c>
      <c r="H218" t="s">
        <v>95</v>
      </c>
      <c r="I218">
        <v>75767</v>
      </c>
      <c r="J218">
        <v>7</v>
      </c>
      <c r="K218" t="s">
        <v>20</v>
      </c>
      <c r="L218">
        <v>15383.4</v>
      </c>
    </row>
    <row r="219" spans="1:12" x14ac:dyDescent="0.3">
      <c r="A219" t="s">
        <v>446</v>
      </c>
      <c r="B219" t="s">
        <v>447</v>
      </c>
      <c r="C219" t="s">
        <v>72</v>
      </c>
      <c r="D219" t="s">
        <v>15</v>
      </c>
      <c r="E219" t="s">
        <v>16</v>
      </c>
      <c r="F219" t="s">
        <v>25</v>
      </c>
      <c r="G219" t="s">
        <v>26</v>
      </c>
      <c r="H219" t="s">
        <v>27</v>
      </c>
      <c r="I219">
        <v>2066</v>
      </c>
      <c r="J219">
        <v>4</v>
      </c>
      <c r="K219" t="s">
        <v>20</v>
      </c>
      <c r="L219">
        <v>279.69</v>
      </c>
    </row>
    <row r="220" spans="1:12" x14ac:dyDescent="0.3">
      <c r="A220" t="s">
        <v>448</v>
      </c>
      <c r="B220" t="s">
        <v>212</v>
      </c>
      <c r="C220" t="s">
        <v>44</v>
      </c>
      <c r="D220" t="s">
        <v>15</v>
      </c>
      <c r="E220" t="s">
        <v>16</v>
      </c>
      <c r="F220" t="s">
        <v>17</v>
      </c>
      <c r="G220" t="s">
        <v>76</v>
      </c>
      <c r="H220" t="s">
        <v>77</v>
      </c>
      <c r="I220">
        <v>31688</v>
      </c>
      <c r="J220">
        <v>5</v>
      </c>
      <c r="K220" t="s">
        <v>34</v>
      </c>
      <c r="L220">
        <v>4987.55</v>
      </c>
    </row>
    <row r="221" spans="1:12" x14ac:dyDescent="0.3">
      <c r="A221" t="s">
        <v>449</v>
      </c>
      <c r="B221" t="s">
        <v>450</v>
      </c>
      <c r="C221" t="s">
        <v>72</v>
      </c>
      <c r="D221" t="s">
        <v>32</v>
      </c>
      <c r="E221" t="s">
        <v>45</v>
      </c>
      <c r="F221" t="s">
        <v>46</v>
      </c>
      <c r="G221" t="s">
        <v>87</v>
      </c>
      <c r="H221" t="s">
        <v>88</v>
      </c>
      <c r="I221">
        <v>41843</v>
      </c>
      <c r="J221">
        <v>10</v>
      </c>
      <c r="K221" t="s">
        <v>49</v>
      </c>
      <c r="L221">
        <v>7459.79</v>
      </c>
    </row>
    <row r="222" spans="1:12" x14ac:dyDescent="0.3">
      <c r="A222" t="s">
        <v>451</v>
      </c>
      <c r="B222" t="s">
        <v>264</v>
      </c>
      <c r="C222" t="s">
        <v>121</v>
      </c>
      <c r="D222" t="s">
        <v>32</v>
      </c>
      <c r="E222" t="s">
        <v>116</v>
      </c>
      <c r="F222" t="s">
        <v>46</v>
      </c>
      <c r="G222" t="s">
        <v>94</v>
      </c>
      <c r="H222" t="s">
        <v>95</v>
      </c>
      <c r="I222">
        <v>69387</v>
      </c>
      <c r="J222">
        <v>10</v>
      </c>
      <c r="K222" t="s">
        <v>28</v>
      </c>
      <c r="L222">
        <v>8831.82</v>
      </c>
    </row>
    <row r="223" spans="1:12" x14ac:dyDescent="0.3">
      <c r="A223" t="s">
        <v>452</v>
      </c>
      <c r="B223" t="s">
        <v>453</v>
      </c>
      <c r="C223" t="s">
        <v>31</v>
      </c>
      <c r="D223" t="s">
        <v>15</v>
      </c>
      <c r="E223" t="s">
        <v>73</v>
      </c>
      <c r="F223" t="s">
        <v>17</v>
      </c>
      <c r="G223" t="s">
        <v>104</v>
      </c>
      <c r="H223" t="s">
        <v>105</v>
      </c>
      <c r="I223">
        <v>52750</v>
      </c>
      <c r="J223">
        <v>8</v>
      </c>
      <c r="K223" t="s">
        <v>49</v>
      </c>
      <c r="L223">
        <v>12030.81</v>
      </c>
    </row>
    <row r="224" spans="1:12" x14ac:dyDescent="0.3">
      <c r="A224" t="s">
        <v>454</v>
      </c>
      <c r="B224" t="s">
        <v>230</v>
      </c>
      <c r="C224" t="s">
        <v>66</v>
      </c>
      <c r="D224" t="s">
        <v>38</v>
      </c>
      <c r="E224" t="s">
        <v>52</v>
      </c>
      <c r="F224" t="s">
        <v>46</v>
      </c>
      <c r="G224" t="s">
        <v>47</v>
      </c>
      <c r="H224" t="s">
        <v>48</v>
      </c>
      <c r="I224">
        <v>73997</v>
      </c>
      <c r="J224">
        <v>8</v>
      </c>
      <c r="K224" t="s">
        <v>34</v>
      </c>
      <c r="L224">
        <v>16570.29</v>
      </c>
    </row>
    <row r="225" spans="1:12" x14ac:dyDescent="0.3">
      <c r="A225" t="s">
        <v>455</v>
      </c>
      <c r="B225" t="s">
        <v>456</v>
      </c>
      <c r="C225" t="s">
        <v>72</v>
      </c>
      <c r="D225" t="s">
        <v>32</v>
      </c>
      <c r="E225" t="s">
        <v>45</v>
      </c>
      <c r="F225" t="s">
        <v>17</v>
      </c>
      <c r="G225" t="s">
        <v>76</v>
      </c>
      <c r="H225" t="s">
        <v>77</v>
      </c>
      <c r="I225">
        <v>45202</v>
      </c>
      <c r="J225">
        <v>10</v>
      </c>
      <c r="K225" t="s">
        <v>20</v>
      </c>
      <c r="L225">
        <v>7158.64</v>
      </c>
    </row>
    <row r="226" spans="1:12" x14ac:dyDescent="0.3">
      <c r="A226" t="s">
        <v>457</v>
      </c>
      <c r="B226" t="s">
        <v>301</v>
      </c>
      <c r="C226" t="s">
        <v>66</v>
      </c>
      <c r="D226" t="s">
        <v>38</v>
      </c>
      <c r="E226" t="s">
        <v>52</v>
      </c>
      <c r="F226" t="s">
        <v>25</v>
      </c>
      <c r="G226" t="s">
        <v>40</v>
      </c>
      <c r="H226" t="s">
        <v>41</v>
      </c>
      <c r="I226">
        <v>3476</v>
      </c>
      <c r="J226">
        <v>8</v>
      </c>
      <c r="K226" t="s">
        <v>28</v>
      </c>
      <c r="L226">
        <v>372.93</v>
      </c>
    </row>
    <row r="227" spans="1:12" x14ac:dyDescent="0.3">
      <c r="A227" t="s">
        <v>458</v>
      </c>
      <c r="B227" t="s">
        <v>97</v>
      </c>
      <c r="C227" t="s">
        <v>121</v>
      </c>
      <c r="D227" t="s">
        <v>23</v>
      </c>
      <c r="E227" t="s">
        <v>24</v>
      </c>
      <c r="F227" t="s">
        <v>25</v>
      </c>
      <c r="G227" t="s">
        <v>26</v>
      </c>
      <c r="H227" t="s">
        <v>27</v>
      </c>
      <c r="I227">
        <v>61204</v>
      </c>
      <c r="J227">
        <v>6</v>
      </c>
      <c r="K227" t="s">
        <v>20</v>
      </c>
      <c r="L227">
        <v>10686.46</v>
      </c>
    </row>
    <row r="228" spans="1:12" x14ac:dyDescent="0.3">
      <c r="A228" t="s">
        <v>459</v>
      </c>
      <c r="B228" t="s">
        <v>460</v>
      </c>
      <c r="C228" t="s">
        <v>66</v>
      </c>
      <c r="D228" t="s">
        <v>15</v>
      </c>
      <c r="E228" t="s">
        <v>154</v>
      </c>
      <c r="F228" t="s">
        <v>25</v>
      </c>
      <c r="G228" t="s">
        <v>40</v>
      </c>
      <c r="H228" t="s">
        <v>41</v>
      </c>
      <c r="I228">
        <v>13187</v>
      </c>
      <c r="J228">
        <v>1</v>
      </c>
      <c r="K228" t="s">
        <v>34</v>
      </c>
      <c r="L228">
        <v>2333.14</v>
      </c>
    </row>
    <row r="229" spans="1:12" x14ac:dyDescent="0.3">
      <c r="A229" t="s">
        <v>461</v>
      </c>
      <c r="B229" t="s">
        <v>292</v>
      </c>
      <c r="C229" t="s">
        <v>63</v>
      </c>
      <c r="D229" t="s">
        <v>38</v>
      </c>
      <c r="E229" t="s">
        <v>39</v>
      </c>
      <c r="F229" t="s">
        <v>17</v>
      </c>
      <c r="G229" t="s">
        <v>104</v>
      </c>
      <c r="H229" t="s">
        <v>105</v>
      </c>
      <c r="I229">
        <v>69005</v>
      </c>
      <c r="J229">
        <v>8</v>
      </c>
      <c r="K229" t="s">
        <v>28</v>
      </c>
      <c r="L229">
        <v>7924.46</v>
      </c>
    </row>
    <row r="230" spans="1:12" x14ac:dyDescent="0.3">
      <c r="A230" t="s">
        <v>462</v>
      </c>
      <c r="B230" t="s">
        <v>351</v>
      </c>
      <c r="C230" t="s">
        <v>63</v>
      </c>
      <c r="D230" t="s">
        <v>15</v>
      </c>
      <c r="E230" t="s">
        <v>16</v>
      </c>
      <c r="F230" t="s">
        <v>25</v>
      </c>
      <c r="G230" t="s">
        <v>40</v>
      </c>
      <c r="H230" t="s">
        <v>41</v>
      </c>
      <c r="I230">
        <v>6433</v>
      </c>
      <c r="J230">
        <v>5</v>
      </c>
      <c r="K230" t="s">
        <v>34</v>
      </c>
      <c r="L230">
        <v>497.9</v>
      </c>
    </row>
    <row r="231" spans="1:12" x14ac:dyDescent="0.3">
      <c r="A231" t="s">
        <v>463</v>
      </c>
      <c r="B231" t="s">
        <v>212</v>
      </c>
      <c r="C231" t="s">
        <v>31</v>
      </c>
      <c r="D231" t="s">
        <v>15</v>
      </c>
      <c r="E231" t="s">
        <v>154</v>
      </c>
      <c r="F231" t="s">
        <v>46</v>
      </c>
      <c r="G231" t="s">
        <v>94</v>
      </c>
      <c r="H231" t="s">
        <v>95</v>
      </c>
      <c r="I231">
        <v>40084</v>
      </c>
      <c r="J231">
        <v>5</v>
      </c>
      <c r="K231" t="s">
        <v>34</v>
      </c>
      <c r="L231">
        <v>8302.6</v>
      </c>
    </row>
    <row r="232" spans="1:12" x14ac:dyDescent="0.3">
      <c r="A232" t="s">
        <v>464</v>
      </c>
      <c r="B232" t="s">
        <v>465</v>
      </c>
      <c r="C232" t="s">
        <v>14</v>
      </c>
      <c r="D232" t="s">
        <v>23</v>
      </c>
      <c r="E232" t="s">
        <v>129</v>
      </c>
      <c r="F232" t="s">
        <v>25</v>
      </c>
      <c r="G232" t="s">
        <v>40</v>
      </c>
      <c r="H232" t="s">
        <v>41</v>
      </c>
      <c r="I232">
        <v>46415</v>
      </c>
      <c r="J232">
        <v>1</v>
      </c>
      <c r="K232" t="s">
        <v>20</v>
      </c>
      <c r="L232">
        <v>11074.2</v>
      </c>
    </row>
    <row r="233" spans="1:12" x14ac:dyDescent="0.3">
      <c r="A233" t="s">
        <v>466</v>
      </c>
      <c r="B233" t="s">
        <v>135</v>
      </c>
      <c r="C233" t="s">
        <v>91</v>
      </c>
      <c r="D233" t="s">
        <v>32</v>
      </c>
      <c r="E233" t="s">
        <v>116</v>
      </c>
      <c r="F233" t="s">
        <v>25</v>
      </c>
      <c r="G233" t="s">
        <v>40</v>
      </c>
      <c r="H233" t="s">
        <v>41</v>
      </c>
      <c r="I233">
        <v>3692</v>
      </c>
      <c r="J233">
        <v>5</v>
      </c>
      <c r="K233" t="s">
        <v>28</v>
      </c>
      <c r="L233">
        <v>941.67</v>
      </c>
    </row>
    <row r="234" spans="1:12" x14ac:dyDescent="0.3">
      <c r="A234" t="s">
        <v>467</v>
      </c>
      <c r="B234" t="s">
        <v>468</v>
      </c>
      <c r="C234" t="s">
        <v>44</v>
      </c>
      <c r="D234" t="s">
        <v>23</v>
      </c>
      <c r="E234" t="s">
        <v>82</v>
      </c>
      <c r="F234" t="s">
        <v>46</v>
      </c>
      <c r="G234" t="s">
        <v>87</v>
      </c>
      <c r="H234" t="s">
        <v>88</v>
      </c>
      <c r="I234">
        <v>78618</v>
      </c>
      <c r="J234">
        <v>5</v>
      </c>
      <c r="K234" t="s">
        <v>49</v>
      </c>
      <c r="L234">
        <v>10103.39</v>
      </c>
    </row>
    <row r="235" spans="1:12" x14ac:dyDescent="0.3">
      <c r="A235" t="s">
        <v>469</v>
      </c>
      <c r="B235" t="s">
        <v>470</v>
      </c>
      <c r="C235" t="s">
        <v>66</v>
      </c>
      <c r="D235" t="s">
        <v>15</v>
      </c>
      <c r="E235" t="s">
        <v>16</v>
      </c>
      <c r="F235" t="s">
        <v>17</v>
      </c>
      <c r="G235" t="s">
        <v>76</v>
      </c>
      <c r="H235" t="s">
        <v>77</v>
      </c>
      <c r="I235">
        <v>40219</v>
      </c>
      <c r="J235">
        <v>4</v>
      </c>
      <c r="K235" t="s">
        <v>28</v>
      </c>
      <c r="L235">
        <v>9636.3700000000008</v>
      </c>
    </row>
    <row r="236" spans="1:12" x14ac:dyDescent="0.3">
      <c r="A236" t="s">
        <v>471</v>
      </c>
      <c r="B236" t="s">
        <v>472</v>
      </c>
      <c r="C236" t="s">
        <v>44</v>
      </c>
      <c r="D236" t="s">
        <v>32</v>
      </c>
      <c r="E236" t="s">
        <v>33</v>
      </c>
      <c r="F236" t="s">
        <v>46</v>
      </c>
      <c r="G236" t="s">
        <v>87</v>
      </c>
      <c r="H236" t="s">
        <v>88</v>
      </c>
      <c r="I236">
        <v>22769</v>
      </c>
      <c r="J236">
        <v>1</v>
      </c>
      <c r="K236" t="s">
        <v>34</v>
      </c>
      <c r="L236">
        <v>3822.24</v>
      </c>
    </row>
    <row r="237" spans="1:12" x14ac:dyDescent="0.3">
      <c r="A237" t="s">
        <v>473</v>
      </c>
      <c r="B237" t="s">
        <v>358</v>
      </c>
      <c r="C237" t="s">
        <v>121</v>
      </c>
      <c r="D237" t="s">
        <v>38</v>
      </c>
      <c r="E237" t="s">
        <v>67</v>
      </c>
      <c r="F237" t="s">
        <v>46</v>
      </c>
      <c r="G237" t="s">
        <v>47</v>
      </c>
      <c r="H237" t="s">
        <v>48</v>
      </c>
      <c r="I237">
        <v>1894</v>
      </c>
      <c r="J237">
        <v>8</v>
      </c>
      <c r="K237" t="s">
        <v>20</v>
      </c>
      <c r="L237">
        <v>344.51</v>
      </c>
    </row>
    <row r="238" spans="1:12" x14ac:dyDescent="0.3">
      <c r="A238" t="s">
        <v>474</v>
      </c>
      <c r="B238" t="s">
        <v>475</v>
      </c>
      <c r="C238" t="s">
        <v>121</v>
      </c>
      <c r="D238" t="s">
        <v>23</v>
      </c>
      <c r="E238" t="s">
        <v>129</v>
      </c>
      <c r="F238" t="s">
        <v>25</v>
      </c>
      <c r="G238" t="s">
        <v>40</v>
      </c>
      <c r="H238" t="s">
        <v>41</v>
      </c>
      <c r="I238">
        <v>59400</v>
      </c>
      <c r="J238">
        <v>2</v>
      </c>
      <c r="K238" t="s">
        <v>49</v>
      </c>
      <c r="L238">
        <v>16236.37</v>
      </c>
    </row>
    <row r="239" spans="1:12" x14ac:dyDescent="0.3">
      <c r="A239" t="s">
        <v>476</v>
      </c>
      <c r="B239" t="s">
        <v>472</v>
      </c>
      <c r="C239" t="s">
        <v>37</v>
      </c>
      <c r="D239" t="s">
        <v>23</v>
      </c>
      <c r="E239" t="s">
        <v>24</v>
      </c>
      <c r="F239" t="s">
        <v>46</v>
      </c>
      <c r="G239" t="s">
        <v>94</v>
      </c>
      <c r="H239" t="s">
        <v>95</v>
      </c>
      <c r="I239">
        <v>46827</v>
      </c>
      <c r="J239">
        <v>7</v>
      </c>
      <c r="K239" t="s">
        <v>20</v>
      </c>
      <c r="L239">
        <v>7014.11</v>
      </c>
    </row>
    <row r="240" spans="1:12" x14ac:dyDescent="0.3">
      <c r="A240" t="s">
        <v>477</v>
      </c>
      <c r="B240" t="s">
        <v>478</v>
      </c>
      <c r="C240" t="s">
        <v>14</v>
      </c>
      <c r="D240" t="s">
        <v>15</v>
      </c>
      <c r="E240" t="s">
        <v>73</v>
      </c>
      <c r="F240" t="s">
        <v>46</v>
      </c>
      <c r="G240" t="s">
        <v>94</v>
      </c>
      <c r="H240" t="s">
        <v>95</v>
      </c>
      <c r="I240">
        <v>59664</v>
      </c>
      <c r="J240">
        <v>7</v>
      </c>
      <c r="K240" t="s">
        <v>53</v>
      </c>
      <c r="L240">
        <v>7631.66</v>
      </c>
    </row>
    <row r="241" spans="1:12" x14ac:dyDescent="0.3">
      <c r="A241" t="s">
        <v>479</v>
      </c>
      <c r="B241" t="s">
        <v>480</v>
      </c>
      <c r="C241" t="s">
        <v>31</v>
      </c>
      <c r="D241" t="s">
        <v>23</v>
      </c>
      <c r="E241" t="s">
        <v>129</v>
      </c>
      <c r="F241" t="s">
        <v>46</v>
      </c>
      <c r="G241" t="s">
        <v>87</v>
      </c>
      <c r="H241" t="s">
        <v>88</v>
      </c>
      <c r="I241">
        <v>21580</v>
      </c>
      <c r="J241">
        <v>9</v>
      </c>
      <c r="K241" t="s">
        <v>53</v>
      </c>
      <c r="L241">
        <v>5160.9399999999996</v>
      </c>
    </row>
    <row r="242" spans="1:12" x14ac:dyDescent="0.3">
      <c r="A242" t="s">
        <v>481</v>
      </c>
      <c r="B242" t="s">
        <v>377</v>
      </c>
      <c r="C242" t="s">
        <v>66</v>
      </c>
      <c r="D242" t="s">
        <v>38</v>
      </c>
      <c r="E242" t="s">
        <v>39</v>
      </c>
      <c r="F242" t="s">
        <v>46</v>
      </c>
      <c r="G242" t="s">
        <v>87</v>
      </c>
      <c r="H242" t="s">
        <v>88</v>
      </c>
      <c r="I242">
        <v>840</v>
      </c>
      <c r="J242">
        <v>9</v>
      </c>
      <c r="K242" t="s">
        <v>28</v>
      </c>
      <c r="L242">
        <v>217.46</v>
      </c>
    </row>
    <row r="243" spans="1:12" x14ac:dyDescent="0.3">
      <c r="A243" t="s">
        <v>482</v>
      </c>
      <c r="B243" t="s">
        <v>247</v>
      </c>
      <c r="C243" t="s">
        <v>37</v>
      </c>
      <c r="D243" t="s">
        <v>15</v>
      </c>
      <c r="E243" t="s">
        <v>154</v>
      </c>
      <c r="F243" t="s">
        <v>25</v>
      </c>
      <c r="G243" t="s">
        <v>57</v>
      </c>
      <c r="H243" t="s">
        <v>58</v>
      </c>
      <c r="I243">
        <v>13862</v>
      </c>
      <c r="J243">
        <v>4</v>
      </c>
      <c r="K243" t="s">
        <v>49</v>
      </c>
      <c r="L243">
        <v>1154.81</v>
      </c>
    </row>
    <row r="244" spans="1:12" x14ac:dyDescent="0.3">
      <c r="A244" t="s">
        <v>483</v>
      </c>
      <c r="B244" t="s">
        <v>353</v>
      </c>
      <c r="C244" t="s">
        <v>37</v>
      </c>
      <c r="D244" t="s">
        <v>15</v>
      </c>
      <c r="E244" t="s">
        <v>16</v>
      </c>
      <c r="F244" t="s">
        <v>46</v>
      </c>
      <c r="G244" t="s">
        <v>87</v>
      </c>
      <c r="H244" t="s">
        <v>88</v>
      </c>
      <c r="I244">
        <v>7052</v>
      </c>
      <c r="J244">
        <v>9</v>
      </c>
      <c r="K244" t="s">
        <v>49</v>
      </c>
      <c r="L244">
        <v>1355.78</v>
      </c>
    </row>
    <row r="245" spans="1:12" x14ac:dyDescent="0.3">
      <c r="A245" t="s">
        <v>484</v>
      </c>
      <c r="B245" t="s">
        <v>485</v>
      </c>
      <c r="C245" t="s">
        <v>72</v>
      </c>
      <c r="D245" t="s">
        <v>15</v>
      </c>
      <c r="E245" t="s">
        <v>73</v>
      </c>
      <c r="F245" t="s">
        <v>17</v>
      </c>
      <c r="G245" t="s">
        <v>18</v>
      </c>
      <c r="H245" t="s">
        <v>19</v>
      </c>
      <c r="I245">
        <v>10999</v>
      </c>
      <c r="J245">
        <v>9</v>
      </c>
      <c r="K245" t="s">
        <v>28</v>
      </c>
      <c r="L245">
        <v>1591.75</v>
      </c>
    </row>
    <row r="246" spans="1:12" x14ac:dyDescent="0.3">
      <c r="A246" t="s">
        <v>486</v>
      </c>
      <c r="B246" t="s">
        <v>487</v>
      </c>
      <c r="C246" t="s">
        <v>121</v>
      </c>
      <c r="D246" t="s">
        <v>15</v>
      </c>
      <c r="E246" t="s">
        <v>154</v>
      </c>
      <c r="F246" t="s">
        <v>46</v>
      </c>
      <c r="G246" t="s">
        <v>87</v>
      </c>
      <c r="H246" t="s">
        <v>88</v>
      </c>
      <c r="I246">
        <v>11703</v>
      </c>
      <c r="J246">
        <v>7</v>
      </c>
      <c r="K246" t="s">
        <v>28</v>
      </c>
      <c r="L246">
        <v>2587.79</v>
      </c>
    </row>
    <row r="247" spans="1:12" x14ac:dyDescent="0.3">
      <c r="A247" t="s">
        <v>488</v>
      </c>
      <c r="B247" t="s">
        <v>489</v>
      </c>
      <c r="C247" t="s">
        <v>44</v>
      </c>
      <c r="D247" t="s">
        <v>15</v>
      </c>
      <c r="E247" t="s">
        <v>154</v>
      </c>
      <c r="F247" t="s">
        <v>17</v>
      </c>
      <c r="G247" t="s">
        <v>18</v>
      </c>
      <c r="H247" t="s">
        <v>19</v>
      </c>
      <c r="I247">
        <v>51460</v>
      </c>
      <c r="J247">
        <v>7</v>
      </c>
      <c r="K247" t="s">
        <v>20</v>
      </c>
      <c r="L247">
        <v>8124.45</v>
      </c>
    </row>
    <row r="248" spans="1:12" x14ac:dyDescent="0.3">
      <c r="A248" t="s">
        <v>490</v>
      </c>
      <c r="B248" t="s">
        <v>491</v>
      </c>
      <c r="C248" t="s">
        <v>37</v>
      </c>
      <c r="D248" t="s">
        <v>38</v>
      </c>
      <c r="E248" t="s">
        <v>52</v>
      </c>
      <c r="F248" t="s">
        <v>46</v>
      </c>
      <c r="G248" t="s">
        <v>47</v>
      </c>
      <c r="H248" t="s">
        <v>48</v>
      </c>
      <c r="I248">
        <v>47189</v>
      </c>
      <c r="J248">
        <v>6</v>
      </c>
      <c r="K248" t="s">
        <v>28</v>
      </c>
      <c r="L248">
        <v>11827.54</v>
      </c>
    </row>
    <row r="249" spans="1:12" x14ac:dyDescent="0.3">
      <c r="A249" t="s">
        <v>492</v>
      </c>
      <c r="B249" t="s">
        <v>220</v>
      </c>
      <c r="C249" t="s">
        <v>72</v>
      </c>
      <c r="D249" t="s">
        <v>23</v>
      </c>
      <c r="E249" t="s">
        <v>24</v>
      </c>
      <c r="F249" t="s">
        <v>17</v>
      </c>
      <c r="G249" t="s">
        <v>18</v>
      </c>
      <c r="H249" t="s">
        <v>19</v>
      </c>
      <c r="I249">
        <v>16134</v>
      </c>
      <c r="J249">
        <v>8</v>
      </c>
      <c r="K249" t="s">
        <v>34</v>
      </c>
      <c r="L249">
        <v>3307.11</v>
      </c>
    </row>
    <row r="250" spans="1:12" x14ac:dyDescent="0.3">
      <c r="A250" t="s">
        <v>493</v>
      </c>
      <c r="B250" t="s">
        <v>332</v>
      </c>
      <c r="C250" t="s">
        <v>63</v>
      </c>
      <c r="D250" t="s">
        <v>38</v>
      </c>
      <c r="E250" t="s">
        <v>39</v>
      </c>
      <c r="F250" t="s">
        <v>25</v>
      </c>
      <c r="G250" t="s">
        <v>40</v>
      </c>
      <c r="H250" t="s">
        <v>41</v>
      </c>
      <c r="I250">
        <v>48619</v>
      </c>
      <c r="J250">
        <v>2</v>
      </c>
      <c r="K250" t="s">
        <v>28</v>
      </c>
      <c r="L250">
        <v>12456.72</v>
      </c>
    </row>
    <row r="251" spans="1:12" x14ac:dyDescent="0.3">
      <c r="A251" t="s">
        <v>494</v>
      </c>
      <c r="B251" t="s">
        <v>495</v>
      </c>
      <c r="C251" t="s">
        <v>31</v>
      </c>
      <c r="D251" t="s">
        <v>32</v>
      </c>
      <c r="E251" t="s">
        <v>33</v>
      </c>
      <c r="F251" t="s">
        <v>25</v>
      </c>
      <c r="G251" t="s">
        <v>57</v>
      </c>
      <c r="H251" t="s">
        <v>58</v>
      </c>
      <c r="I251">
        <v>40953</v>
      </c>
      <c r="J251">
        <v>10</v>
      </c>
      <c r="K251" t="s">
        <v>34</v>
      </c>
      <c r="L251">
        <v>5784.25</v>
      </c>
    </row>
    <row r="252" spans="1:12" x14ac:dyDescent="0.3">
      <c r="A252" t="s">
        <v>496</v>
      </c>
      <c r="B252" t="s">
        <v>172</v>
      </c>
      <c r="C252" t="s">
        <v>66</v>
      </c>
      <c r="D252" t="s">
        <v>38</v>
      </c>
      <c r="E252" t="s">
        <v>39</v>
      </c>
      <c r="F252" t="s">
        <v>25</v>
      </c>
      <c r="G252" t="s">
        <v>40</v>
      </c>
      <c r="H252" t="s">
        <v>41</v>
      </c>
      <c r="I252">
        <v>60590</v>
      </c>
      <c r="J252">
        <v>6</v>
      </c>
      <c r="K252" t="s">
        <v>49</v>
      </c>
      <c r="L252">
        <v>6353.08</v>
      </c>
    </row>
    <row r="253" spans="1:12" x14ac:dyDescent="0.3">
      <c r="A253" t="s">
        <v>497</v>
      </c>
      <c r="B253" t="s">
        <v>312</v>
      </c>
      <c r="C253" t="s">
        <v>44</v>
      </c>
      <c r="D253" t="s">
        <v>23</v>
      </c>
      <c r="E253" t="s">
        <v>82</v>
      </c>
      <c r="F253" t="s">
        <v>17</v>
      </c>
      <c r="G253" t="s">
        <v>18</v>
      </c>
      <c r="H253" t="s">
        <v>19</v>
      </c>
      <c r="I253">
        <v>19399</v>
      </c>
      <c r="J253">
        <v>3</v>
      </c>
      <c r="K253" t="s">
        <v>28</v>
      </c>
      <c r="L253">
        <v>3629.31</v>
      </c>
    </row>
    <row r="254" spans="1:12" x14ac:dyDescent="0.3">
      <c r="A254" t="s">
        <v>498</v>
      </c>
      <c r="B254" t="s">
        <v>499</v>
      </c>
      <c r="C254" t="s">
        <v>37</v>
      </c>
      <c r="D254" t="s">
        <v>15</v>
      </c>
      <c r="E254" t="s">
        <v>154</v>
      </c>
      <c r="F254" t="s">
        <v>25</v>
      </c>
      <c r="G254" t="s">
        <v>40</v>
      </c>
      <c r="H254" t="s">
        <v>41</v>
      </c>
      <c r="I254">
        <v>41967</v>
      </c>
      <c r="J254">
        <v>6</v>
      </c>
      <c r="K254" t="s">
        <v>28</v>
      </c>
      <c r="L254">
        <v>10360.299999999999</v>
      </c>
    </row>
    <row r="255" spans="1:12" x14ac:dyDescent="0.3">
      <c r="A255" t="s">
        <v>500</v>
      </c>
      <c r="B255" t="s">
        <v>109</v>
      </c>
      <c r="C255" t="s">
        <v>66</v>
      </c>
      <c r="D255" t="s">
        <v>38</v>
      </c>
      <c r="E255" t="s">
        <v>67</v>
      </c>
      <c r="F255" t="s">
        <v>25</v>
      </c>
      <c r="G255" t="s">
        <v>57</v>
      </c>
      <c r="H255" t="s">
        <v>58</v>
      </c>
      <c r="I255">
        <v>73159</v>
      </c>
      <c r="J255">
        <v>2</v>
      </c>
      <c r="K255" t="s">
        <v>49</v>
      </c>
      <c r="L255">
        <v>15770.05</v>
      </c>
    </row>
    <row r="256" spans="1:12" x14ac:dyDescent="0.3">
      <c r="A256" t="s">
        <v>501</v>
      </c>
      <c r="B256" t="s">
        <v>502</v>
      </c>
      <c r="C256" t="s">
        <v>37</v>
      </c>
      <c r="D256" t="s">
        <v>23</v>
      </c>
      <c r="E256" t="s">
        <v>24</v>
      </c>
      <c r="F256" t="s">
        <v>17</v>
      </c>
      <c r="G256" t="s">
        <v>76</v>
      </c>
      <c r="H256" t="s">
        <v>77</v>
      </c>
      <c r="I256">
        <v>39098</v>
      </c>
      <c r="J256">
        <v>7</v>
      </c>
      <c r="K256" t="s">
        <v>20</v>
      </c>
      <c r="L256">
        <v>10664.55</v>
      </c>
    </row>
    <row r="257" spans="1:12" x14ac:dyDescent="0.3">
      <c r="A257" t="s">
        <v>503</v>
      </c>
      <c r="B257" t="s">
        <v>504</v>
      </c>
      <c r="C257" t="s">
        <v>14</v>
      </c>
      <c r="D257" t="s">
        <v>32</v>
      </c>
      <c r="E257" t="s">
        <v>33</v>
      </c>
      <c r="F257" t="s">
        <v>46</v>
      </c>
      <c r="G257" t="s">
        <v>94</v>
      </c>
      <c r="H257" t="s">
        <v>95</v>
      </c>
      <c r="I257">
        <v>54733</v>
      </c>
      <c r="J257">
        <v>2</v>
      </c>
      <c r="K257" t="s">
        <v>28</v>
      </c>
      <c r="L257">
        <v>10590.14</v>
      </c>
    </row>
    <row r="258" spans="1:12" x14ac:dyDescent="0.3">
      <c r="A258" t="s">
        <v>505</v>
      </c>
      <c r="B258" t="s">
        <v>506</v>
      </c>
      <c r="C258" t="s">
        <v>44</v>
      </c>
      <c r="D258" t="s">
        <v>15</v>
      </c>
      <c r="E258" t="s">
        <v>73</v>
      </c>
      <c r="F258" t="s">
        <v>17</v>
      </c>
      <c r="G258" t="s">
        <v>76</v>
      </c>
      <c r="H258" t="s">
        <v>77</v>
      </c>
      <c r="I258">
        <v>1991</v>
      </c>
      <c r="J258">
        <v>4</v>
      </c>
      <c r="K258" t="s">
        <v>53</v>
      </c>
      <c r="L258">
        <v>395.02</v>
      </c>
    </row>
    <row r="259" spans="1:12" x14ac:dyDescent="0.3">
      <c r="A259" t="s">
        <v>507</v>
      </c>
      <c r="B259" t="s">
        <v>508</v>
      </c>
      <c r="C259" t="s">
        <v>91</v>
      </c>
      <c r="D259" t="s">
        <v>32</v>
      </c>
      <c r="E259" t="s">
        <v>33</v>
      </c>
      <c r="F259" t="s">
        <v>46</v>
      </c>
      <c r="G259" t="s">
        <v>47</v>
      </c>
      <c r="H259" t="s">
        <v>48</v>
      </c>
      <c r="I259">
        <v>9971</v>
      </c>
      <c r="J259">
        <v>3</v>
      </c>
      <c r="K259" t="s">
        <v>49</v>
      </c>
      <c r="L259">
        <v>2662.62</v>
      </c>
    </row>
    <row r="260" spans="1:12" x14ac:dyDescent="0.3">
      <c r="A260" t="s">
        <v>509</v>
      </c>
      <c r="B260" t="s">
        <v>510</v>
      </c>
      <c r="C260" t="s">
        <v>31</v>
      </c>
      <c r="D260" t="s">
        <v>38</v>
      </c>
      <c r="E260" t="s">
        <v>67</v>
      </c>
      <c r="F260" t="s">
        <v>25</v>
      </c>
      <c r="G260" t="s">
        <v>26</v>
      </c>
      <c r="H260" t="s">
        <v>27</v>
      </c>
      <c r="I260">
        <v>37711</v>
      </c>
      <c r="J260">
        <v>2</v>
      </c>
      <c r="K260" t="s">
        <v>28</v>
      </c>
      <c r="L260">
        <v>9699.7000000000007</v>
      </c>
    </row>
    <row r="261" spans="1:12" x14ac:dyDescent="0.3">
      <c r="A261" t="s">
        <v>511</v>
      </c>
      <c r="B261" t="s">
        <v>512</v>
      </c>
      <c r="C261" t="s">
        <v>44</v>
      </c>
      <c r="D261" t="s">
        <v>23</v>
      </c>
      <c r="E261" t="s">
        <v>24</v>
      </c>
      <c r="F261" t="s">
        <v>25</v>
      </c>
      <c r="G261" t="s">
        <v>26</v>
      </c>
      <c r="H261" t="s">
        <v>27</v>
      </c>
      <c r="I261">
        <v>11657</v>
      </c>
      <c r="J261">
        <v>10</v>
      </c>
      <c r="K261" t="s">
        <v>49</v>
      </c>
      <c r="L261">
        <v>1314.64</v>
      </c>
    </row>
    <row r="262" spans="1:12" x14ac:dyDescent="0.3">
      <c r="A262" t="s">
        <v>513</v>
      </c>
      <c r="B262" t="s">
        <v>514</v>
      </c>
      <c r="C262" t="s">
        <v>31</v>
      </c>
      <c r="D262" t="s">
        <v>23</v>
      </c>
      <c r="E262" t="s">
        <v>24</v>
      </c>
      <c r="F262" t="s">
        <v>17</v>
      </c>
      <c r="G262" t="s">
        <v>76</v>
      </c>
      <c r="H262" t="s">
        <v>77</v>
      </c>
      <c r="I262">
        <v>18997</v>
      </c>
      <c r="J262">
        <v>8</v>
      </c>
      <c r="K262" t="s">
        <v>20</v>
      </c>
      <c r="L262">
        <v>2436.65</v>
      </c>
    </row>
    <row r="263" spans="1:12" x14ac:dyDescent="0.3">
      <c r="A263" t="s">
        <v>515</v>
      </c>
      <c r="B263" t="s">
        <v>516</v>
      </c>
      <c r="C263" t="s">
        <v>121</v>
      </c>
      <c r="D263" t="s">
        <v>32</v>
      </c>
      <c r="E263" t="s">
        <v>33</v>
      </c>
      <c r="F263" t="s">
        <v>17</v>
      </c>
      <c r="G263" t="s">
        <v>18</v>
      </c>
      <c r="H263" t="s">
        <v>19</v>
      </c>
      <c r="I263">
        <v>71807</v>
      </c>
      <c r="J263">
        <v>8</v>
      </c>
      <c r="K263" t="s">
        <v>49</v>
      </c>
      <c r="L263">
        <v>16692.8</v>
      </c>
    </row>
    <row r="264" spans="1:12" x14ac:dyDescent="0.3">
      <c r="A264" t="s">
        <v>517</v>
      </c>
      <c r="B264" t="s">
        <v>518</v>
      </c>
      <c r="C264" t="s">
        <v>63</v>
      </c>
      <c r="D264" t="s">
        <v>32</v>
      </c>
      <c r="E264" t="s">
        <v>33</v>
      </c>
      <c r="F264" t="s">
        <v>17</v>
      </c>
      <c r="G264" t="s">
        <v>104</v>
      </c>
      <c r="H264" t="s">
        <v>105</v>
      </c>
      <c r="I264">
        <v>48363</v>
      </c>
      <c r="J264">
        <v>10</v>
      </c>
      <c r="K264" t="s">
        <v>53</v>
      </c>
      <c r="L264">
        <v>11740.48</v>
      </c>
    </row>
    <row r="265" spans="1:12" x14ac:dyDescent="0.3">
      <c r="A265" t="s">
        <v>519</v>
      </c>
      <c r="B265" t="s">
        <v>184</v>
      </c>
      <c r="C265" t="s">
        <v>91</v>
      </c>
      <c r="D265" t="s">
        <v>15</v>
      </c>
      <c r="E265" t="s">
        <v>16</v>
      </c>
      <c r="F265" t="s">
        <v>17</v>
      </c>
      <c r="G265" t="s">
        <v>104</v>
      </c>
      <c r="H265" t="s">
        <v>105</v>
      </c>
      <c r="I265">
        <v>37905</v>
      </c>
      <c r="J265">
        <v>9</v>
      </c>
      <c r="K265" t="s">
        <v>20</v>
      </c>
      <c r="L265">
        <v>5254.61</v>
      </c>
    </row>
    <row r="266" spans="1:12" x14ac:dyDescent="0.3">
      <c r="A266" t="s">
        <v>520</v>
      </c>
      <c r="B266" t="s">
        <v>381</v>
      </c>
      <c r="C266" t="s">
        <v>44</v>
      </c>
      <c r="D266" t="s">
        <v>15</v>
      </c>
      <c r="E266" t="s">
        <v>16</v>
      </c>
      <c r="F266" t="s">
        <v>46</v>
      </c>
      <c r="G266" t="s">
        <v>47</v>
      </c>
      <c r="H266" t="s">
        <v>48</v>
      </c>
      <c r="I266">
        <v>38534</v>
      </c>
      <c r="J266">
        <v>3</v>
      </c>
      <c r="K266" t="s">
        <v>20</v>
      </c>
      <c r="L266">
        <v>9074.24</v>
      </c>
    </row>
    <row r="267" spans="1:12" x14ac:dyDescent="0.3">
      <c r="A267" t="s">
        <v>521</v>
      </c>
      <c r="B267" t="s">
        <v>271</v>
      </c>
      <c r="C267" t="s">
        <v>56</v>
      </c>
      <c r="D267" t="s">
        <v>23</v>
      </c>
      <c r="E267" t="s">
        <v>82</v>
      </c>
      <c r="F267" t="s">
        <v>46</v>
      </c>
      <c r="G267" t="s">
        <v>94</v>
      </c>
      <c r="H267" t="s">
        <v>95</v>
      </c>
      <c r="I267">
        <v>4474</v>
      </c>
      <c r="J267">
        <v>7</v>
      </c>
      <c r="K267" t="s">
        <v>20</v>
      </c>
      <c r="L267">
        <v>609.74</v>
      </c>
    </row>
    <row r="268" spans="1:12" x14ac:dyDescent="0.3">
      <c r="A268" t="s">
        <v>522</v>
      </c>
      <c r="B268" t="s">
        <v>523</v>
      </c>
      <c r="C268" t="s">
        <v>91</v>
      </c>
      <c r="D268" t="s">
        <v>32</v>
      </c>
      <c r="E268" t="s">
        <v>33</v>
      </c>
      <c r="F268" t="s">
        <v>25</v>
      </c>
      <c r="G268" t="s">
        <v>40</v>
      </c>
      <c r="H268" t="s">
        <v>41</v>
      </c>
      <c r="I268">
        <v>48872</v>
      </c>
      <c r="J268">
        <v>10</v>
      </c>
      <c r="K268" t="s">
        <v>28</v>
      </c>
      <c r="L268">
        <v>3825.78</v>
      </c>
    </row>
    <row r="269" spans="1:12" x14ac:dyDescent="0.3">
      <c r="A269" t="s">
        <v>524</v>
      </c>
      <c r="B269" t="s">
        <v>384</v>
      </c>
      <c r="C269" t="s">
        <v>66</v>
      </c>
      <c r="D269" t="s">
        <v>38</v>
      </c>
      <c r="E269" t="s">
        <v>67</v>
      </c>
      <c r="F269" t="s">
        <v>17</v>
      </c>
      <c r="G269" t="s">
        <v>104</v>
      </c>
      <c r="H269" t="s">
        <v>105</v>
      </c>
      <c r="I269">
        <v>31003</v>
      </c>
      <c r="J269">
        <v>6</v>
      </c>
      <c r="K269" t="s">
        <v>20</v>
      </c>
      <c r="L269">
        <v>4251.22</v>
      </c>
    </row>
    <row r="270" spans="1:12" x14ac:dyDescent="0.3">
      <c r="A270" t="s">
        <v>525</v>
      </c>
      <c r="B270" t="s">
        <v>356</v>
      </c>
      <c r="C270" t="s">
        <v>66</v>
      </c>
      <c r="D270" t="s">
        <v>32</v>
      </c>
      <c r="E270" t="s">
        <v>45</v>
      </c>
      <c r="F270" t="s">
        <v>25</v>
      </c>
      <c r="G270" t="s">
        <v>57</v>
      </c>
      <c r="H270" t="s">
        <v>58</v>
      </c>
      <c r="I270">
        <v>61191</v>
      </c>
      <c r="J270">
        <v>10</v>
      </c>
      <c r="K270" t="s">
        <v>34</v>
      </c>
      <c r="L270">
        <v>7061.67</v>
      </c>
    </row>
    <row r="271" spans="1:12" x14ac:dyDescent="0.3">
      <c r="A271" t="s">
        <v>526</v>
      </c>
      <c r="B271" t="s">
        <v>166</v>
      </c>
      <c r="C271" t="s">
        <v>63</v>
      </c>
      <c r="D271" t="s">
        <v>23</v>
      </c>
      <c r="E271" t="s">
        <v>82</v>
      </c>
      <c r="F271" t="s">
        <v>17</v>
      </c>
      <c r="G271" t="s">
        <v>18</v>
      </c>
      <c r="H271" t="s">
        <v>19</v>
      </c>
      <c r="I271">
        <v>55158</v>
      </c>
      <c r="J271">
        <v>3</v>
      </c>
      <c r="K271" t="s">
        <v>49</v>
      </c>
      <c r="L271">
        <v>10832.6</v>
      </c>
    </row>
    <row r="272" spans="1:12" x14ac:dyDescent="0.3">
      <c r="A272" t="s">
        <v>527</v>
      </c>
      <c r="B272" t="s">
        <v>226</v>
      </c>
      <c r="C272" t="s">
        <v>91</v>
      </c>
      <c r="D272" t="s">
        <v>23</v>
      </c>
      <c r="E272" t="s">
        <v>24</v>
      </c>
      <c r="F272" t="s">
        <v>46</v>
      </c>
      <c r="G272" t="s">
        <v>87</v>
      </c>
      <c r="H272" t="s">
        <v>88</v>
      </c>
      <c r="I272">
        <v>2010</v>
      </c>
      <c r="J272">
        <v>2</v>
      </c>
      <c r="K272" t="s">
        <v>28</v>
      </c>
      <c r="L272">
        <v>487.76</v>
      </c>
    </row>
    <row r="273" spans="1:12" x14ac:dyDescent="0.3">
      <c r="A273" t="s">
        <v>528</v>
      </c>
      <c r="B273" t="s">
        <v>287</v>
      </c>
      <c r="C273" t="s">
        <v>91</v>
      </c>
      <c r="D273" t="s">
        <v>38</v>
      </c>
      <c r="E273" t="s">
        <v>39</v>
      </c>
      <c r="F273" t="s">
        <v>25</v>
      </c>
      <c r="G273" t="s">
        <v>26</v>
      </c>
      <c r="H273" t="s">
        <v>27</v>
      </c>
      <c r="I273">
        <v>33677</v>
      </c>
      <c r="J273">
        <v>5</v>
      </c>
      <c r="K273" t="s">
        <v>49</v>
      </c>
      <c r="L273">
        <v>4246.97</v>
      </c>
    </row>
    <row r="274" spans="1:12" x14ac:dyDescent="0.3">
      <c r="A274" t="s">
        <v>529</v>
      </c>
      <c r="B274" t="s">
        <v>456</v>
      </c>
      <c r="C274" t="s">
        <v>121</v>
      </c>
      <c r="D274" t="s">
        <v>23</v>
      </c>
      <c r="E274" t="s">
        <v>129</v>
      </c>
      <c r="F274" t="s">
        <v>25</v>
      </c>
      <c r="G274" t="s">
        <v>57</v>
      </c>
      <c r="H274" t="s">
        <v>58</v>
      </c>
      <c r="I274">
        <v>42340</v>
      </c>
      <c r="J274">
        <v>4</v>
      </c>
      <c r="K274" t="s">
        <v>34</v>
      </c>
      <c r="L274">
        <v>4274.75</v>
      </c>
    </row>
    <row r="275" spans="1:12" x14ac:dyDescent="0.3">
      <c r="A275" t="s">
        <v>530</v>
      </c>
      <c r="B275" t="s">
        <v>499</v>
      </c>
      <c r="C275" t="s">
        <v>66</v>
      </c>
      <c r="D275" t="s">
        <v>32</v>
      </c>
      <c r="E275" t="s">
        <v>116</v>
      </c>
      <c r="F275" t="s">
        <v>17</v>
      </c>
      <c r="G275" t="s">
        <v>76</v>
      </c>
      <c r="H275" t="s">
        <v>77</v>
      </c>
      <c r="I275">
        <v>38873</v>
      </c>
      <c r="J275">
        <v>1</v>
      </c>
      <c r="K275" t="s">
        <v>49</v>
      </c>
      <c r="L275">
        <v>9707.02</v>
      </c>
    </row>
    <row r="276" spans="1:12" x14ac:dyDescent="0.3">
      <c r="A276" t="s">
        <v>531</v>
      </c>
      <c r="B276" t="s">
        <v>532</v>
      </c>
      <c r="C276" t="s">
        <v>121</v>
      </c>
      <c r="D276" t="s">
        <v>15</v>
      </c>
      <c r="E276" t="s">
        <v>154</v>
      </c>
      <c r="F276" t="s">
        <v>25</v>
      </c>
      <c r="G276" t="s">
        <v>57</v>
      </c>
      <c r="H276" t="s">
        <v>58</v>
      </c>
      <c r="I276">
        <v>27158</v>
      </c>
      <c r="J276">
        <v>5</v>
      </c>
      <c r="K276" t="s">
        <v>28</v>
      </c>
      <c r="L276">
        <v>6764.26</v>
      </c>
    </row>
    <row r="277" spans="1:12" x14ac:dyDescent="0.3">
      <c r="A277" t="s">
        <v>533</v>
      </c>
      <c r="B277" t="s">
        <v>97</v>
      </c>
      <c r="C277" t="s">
        <v>37</v>
      </c>
      <c r="D277" t="s">
        <v>32</v>
      </c>
      <c r="E277" t="s">
        <v>33</v>
      </c>
      <c r="F277" t="s">
        <v>25</v>
      </c>
      <c r="G277" t="s">
        <v>40</v>
      </c>
      <c r="H277" t="s">
        <v>41</v>
      </c>
      <c r="I277">
        <v>5095</v>
      </c>
      <c r="J277">
        <v>7</v>
      </c>
      <c r="K277" t="s">
        <v>53</v>
      </c>
      <c r="L277">
        <v>606.35</v>
      </c>
    </row>
    <row r="278" spans="1:12" x14ac:dyDescent="0.3">
      <c r="A278" t="s">
        <v>534</v>
      </c>
      <c r="B278" t="s">
        <v>535</v>
      </c>
      <c r="C278" t="s">
        <v>31</v>
      </c>
      <c r="D278" t="s">
        <v>15</v>
      </c>
      <c r="E278" t="s">
        <v>154</v>
      </c>
      <c r="F278" t="s">
        <v>46</v>
      </c>
      <c r="G278" t="s">
        <v>87</v>
      </c>
      <c r="H278" t="s">
        <v>88</v>
      </c>
      <c r="I278">
        <v>26995</v>
      </c>
      <c r="J278">
        <v>7</v>
      </c>
      <c r="K278" t="s">
        <v>28</v>
      </c>
      <c r="L278">
        <v>4924</v>
      </c>
    </row>
    <row r="279" spans="1:12" x14ac:dyDescent="0.3">
      <c r="A279" t="s">
        <v>536</v>
      </c>
      <c r="B279" t="s">
        <v>86</v>
      </c>
      <c r="C279" t="s">
        <v>121</v>
      </c>
      <c r="D279" t="s">
        <v>23</v>
      </c>
      <c r="E279" t="s">
        <v>24</v>
      </c>
      <c r="F279" t="s">
        <v>25</v>
      </c>
      <c r="G279" t="s">
        <v>40</v>
      </c>
      <c r="H279" t="s">
        <v>41</v>
      </c>
      <c r="I279">
        <v>9653</v>
      </c>
      <c r="J279">
        <v>5</v>
      </c>
      <c r="K279" t="s">
        <v>28</v>
      </c>
      <c r="L279">
        <v>1104.1600000000001</v>
      </c>
    </row>
    <row r="280" spans="1:12" x14ac:dyDescent="0.3">
      <c r="A280" t="s">
        <v>537</v>
      </c>
      <c r="B280" t="s">
        <v>426</v>
      </c>
      <c r="C280" t="s">
        <v>66</v>
      </c>
      <c r="D280" t="s">
        <v>23</v>
      </c>
      <c r="E280" t="s">
        <v>82</v>
      </c>
      <c r="F280" t="s">
        <v>17</v>
      </c>
      <c r="G280" t="s">
        <v>76</v>
      </c>
      <c r="H280" t="s">
        <v>77</v>
      </c>
      <c r="I280">
        <v>4344</v>
      </c>
      <c r="J280">
        <v>5</v>
      </c>
      <c r="K280" t="s">
        <v>28</v>
      </c>
      <c r="L280">
        <v>801.71</v>
      </c>
    </row>
    <row r="281" spans="1:12" x14ac:dyDescent="0.3">
      <c r="A281" t="s">
        <v>538</v>
      </c>
      <c r="B281" t="s">
        <v>539</v>
      </c>
      <c r="C281" t="s">
        <v>63</v>
      </c>
      <c r="D281" t="s">
        <v>38</v>
      </c>
      <c r="E281" t="s">
        <v>52</v>
      </c>
      <c r="F281" t="s">
        <v>25</v>
      </c>
      <c r="G281" t="s">
        <v>40</v>
      </c>
      <c r="H281" t="s">
        <v>41</v>
      </c>
      <c r="I281">
        <v>20921</v>
      </c>
      <c r="J281">
        <v>2</v>
      </c>
      <c r="K281" t="s">
        <v>34</v>
      </c>
      <c r="L281">
        <v>3599.36</v>
      </c>
    </row>
    <row r="282" spans="1:12" x14ac:dyDescent="0.3">
      <c r="A282" t="s">
        <v>540</v>
      </c>
      <c r="B282" t="s">
        <v>541</v>
      </c>
      <c r="C282" t="s">
        <v>56</v>
      </c>
      <c r="D282" t="s">
        <v>23</v>
      </c>
      <c r="E282" t="s">
        <v>82</v>
      </c>
      <c r="F282" t="s">
        <v>25</v>
      </c>
      <c r="G282" t="s">
        <v>40</v>
      </c>
      <c r="H282" t="s">
        <v>41</v>
      </c>
      <c r="I282">
        <v>53780</v>
      </c>
      <c r="J282">
        <v>8</v>
      </c>
      <c r="K282" t="s">
        <v>34</v>
      </c>
      <c r="L282">
        <v>4422.99</v>
      </c>
    </row>
    <row r="283" spans="1:12" x14ac:dyDescent="0.3">
      <c r="A283" t="s">
        <v>542</v>
      </c>
      <c r="B283" t="s">
        <v>543</v>
      </c>
      <c r="C283" t="s">
        <v>63</v>
      </c>
      <c r="D283" t="s">
        <v>15</v>
      </c>
      <c r="E283" t="s">
        <v>154</v>
      </c>
      <c r="F283" t="s">
        <v>25</v>
      </c>
      <c r="G283" t="s">
        <v>57</v>
      </c>
      <c r="H283" t="s">
        <v>58</v>
      </c>
      <c r="I283">
        <v>27533</v>
      </c>
      <c r="J283">
        <v>1</v>
      </c>
      <c r="K283" t="s">
        <v>34</v>
      </c>
      <c r="L283">
        <v>3115.96</v>
      </c>
    </row>
    <row r="284" spans="1:12" x14ac:dyDescent="0.3">
      <c r="A284" t="s">
        <v>544</v>
      </c>
      <c r="B284" t="s">
        <v>287</v>
      </c>
      <c r="C284" t="s">
        <v>37</v>
      </c>
      <c r="D284" t="s">
        <v>32</v>
      </c>
      <c r="E284" t="s">
        <v>116</v>
      </c>
      <c r="F284" t="s">
        <v>17</v>
      </c>
      <c r="G284" t="s">
        <v>104</v>
      </c>
      <c r="H284" t="s">
        <v>105</v>
      </c>
      <c r="I284">
        <v>66886</v>
      </c>
      <c r="J284">
        <v>7</v>
      </c>
      <c r="K284" t="s">
        <v>34</v>
      </c>
      <c r="L284">
        <v>7070.38</v>
      </c>
    </row>
    <row r="285" spans="1:12" x14ac:dyDescent="0.3">
      <c r="A285" t="s">
        <v>545</v>
      </c>
      <c r="B285" t="s">
        <v>292</v>
      </c>
      <c r="C285" t="s">
        <v>63</v>
      </c>
      <c r="D285" t="s">
        <v>38</v>
      </c>
      <c r="E285" t="s">
        <v>67</v>
      </c>
      <c r="F285" t="s">
        <v>25</v>
      </c>
      <c r="G285" t="s">
        <v>40</v>
      </c>
      <c r="H285" t="s">
        <v>41</v>
      </c>
      <c r="I285">
        <v>72797</v>
      </c>
      <c r="J285">
        <v>8</v>
      </c>
      <c r="K285" t="s">
        <v>20</v>
      </c>
      <c r="L285">
        <v>18255.36</v>
      </c>
    </row>
    <row r="286" spans="1:12" x14ac:dyDescent="0.3">
      <c r="A286" t="s">
        <v>546</v>
      </c>
      <c r="B286" t="s">
        <v>445</v>
      </c>
      <c r="C286" t="s">
        <v>66</v>
      </c>
      <c r="D286" t="s">
        <v>23</v>
      </c>
      <c r="E286" t="s">
        <v>24</v>
      </c>
      <c r="F286" t="s">
        <v>25</v>
      </c>
      <c r="G286" t="s">
        <v>40</v>
      </c>
      <c r="H286" t="s">
        <v>41</v>
      </c>
      <c r="I286">
        <v>15018</v>
      </c>
      <c r="J286">
        <v>8</v>
      </c>
      <c r="K286" t="s">
        <v>28</v>
      </c>
      <c r="L286">
        <v>3123.07</v>
      </c>
    </row>
    <row r="287" spans="1:12" x14ac:dyDescent="0.3">
      <c r="A287" t="s">
        <v>547</v>
      </c>
      <c r="B287" t="s">
        <v>548</v>
      </c>
      <c r="C287" t="s">
        <v>44</v>
      </c>
      <c r="D287" t="s">
        <v>23</v>
      </c>
      <c r="E287" t="s">
        <v>129</v>
      </c>
      <c r="F287" t="s">
        <v>17</v>
      </c>
      <c r="G287" t="s">
        <v>18</v>
      </c>
      <c r="H287" t="s">
        <v>19</v>
      </c>
      <c r="I287">
        <v>53085</v>
      </c>
      <c r="J287">
        <v>8</v>
      </c>
      <c r="K287" t="s">
        <v>20</v>
      </c>
      <c r="L287">
        <v>14183.61</v>
      </c>
    </row>
    <row r="288" spans="1:12" x14ac:dyDescent="0.3">
      <c r="A288" t="s">
        <v>549</v>
      </c>
      <c r="B288" t="s">
        <v>550</v>
      </c>
      <c r="C288" t="s">
        <v>14</v>
      </c>
      <c r="D288" t="s">
        <v>15</v>
      </c>
      <c r="E288" t="s">
        <v>16</v>
      </c>
      <c r="F288" t="s">
        <v>17</v>
      </c>
      <c r="G288" t="s">
        <v>18</v>
      </c>
      <c r="H288" t="s">
        <v>19</v>
      </c>
      <c r="I288">
        <v>58494</v>
      </c>
      <c r="J288">
        <v>7</v>
      </c>
      <c r="K288" t="s">
        <v>34</v>
      </c>
      <c r="L288">
        <v>13907.91</v>
      </c>
    </row>
    <row r="289" spans="1:12" x14ac:dyDescent="0.3">
      <c r="A289" t="s">
        <v>551</v>
      </c>
      <c r="B289" t="s">
        <v>394</v>
      </c>
      <c r="C289" t="s">
        <v>37</v>
      </c>
      <c r="D289" t="s">
        <v>38</v>
      </c>
      <c r="E289" t="s">
        <v>52</v>
      </c>
      <c r="F289" t="s">
        <v>25</v>
      </c>
      <c r="G289" t="s">
        <v>26</v>
      </c>
      <c r="H289" t="s">
        <v>27</v>
      </c>
      <c r="I289">
        <v>1329</v>
      </c>
      <c r="J289">
        <v>2</v>
      </c>
      <c r="K289" t="s">
        <v>20</v>
      </c>
      <c r="L289">
        <v>231.68</v>
      </c>
    </row>
    <row r="290" spans="1:12" x14ac:dyDescent="0.3">
      <c r="A290" t="s">
        <v>552</v>
      </c>
      <c r="B290" t="s">
        <v>176</v>
      </c>
      <c r="C290" t="s">
        <v>66</v>
      </c>
      <c r="D290" t="s">
        <v>32</v>
      </c>
      <c r="E290" t="s">
        <v>116</v>
      </c>
      <c r="F290" t="s">
        <v>17</v>
      </c>
      <c r="G290" t="s">
        <v>104</v>
      </c>
      <c r="H290" t="s">
        <v>105</v>
      </c>
      <c r="I290">
        <v>52339</v>
      </c>
      <c r="J290">
        <v>5</v>
      </c>
      <c r="K290" t="s">
        <v>53</v>
      </c>
      <c r="L290">
        <v>4603.37</v>
      </c>
    </row>
    <row r="291" spans="1:12" x14ac:dyDescent="0.3">
      <c r="A291" t="s">
        <v>553</v>
      </c>
      <c r="B291" t="s">
        <v>343</v>
      </c>
      <c r="C291" t="s">
        <v>37</v>
      </c>
      <c r="D291" t="s">
        <v>15</v>
      </c>
      <c r="E291" t="s">
        <v>154</v>
      </c>
      <c r="F291" t="s">
        <v>25</v>
      </c>
      <c r="G291" t="s">
        <v>57</v>
      </c>
      <c r="H291" t="s">
        <v>58</v>
      </c>
      <c r="I291">
        <v>36231</v>
      </c>
      <c r="J291">
        <v>3</v>
      </c>
      <c r="K291" t="s">
        <v>34</v>
      </c>
      <c r="L291">
        <v>7303.6</v>
      </c>
    </row>
    <row r="292" spans="1:12" x14ac:dyDescent="0.3">
      <c r="A292" t="s">
        <v>554</v>
      </c>
      <c r="B292" t="s">
        <v>555</v>
      </c>
      <c r="C292" t="s">
        <v>72</v>
      </c>
      <c r="D292" t="s">
        <v>32</v>
      </c>
      <c r="E292" t="s">
        <v>116</v>
      </c>
      <c r="F292" t="s">
        <v>25</v>
      </c>
      <c r="G292" t="s">
        <v>57</v>
      </c>
      <c r="H292" t="s">
        <v>58</v>
      </c>
      <c r="I292">
        <v>72117</v>
      </c>
      <c r="J292">
        <v>4</v>
      </c>
      <c r="K292" t="s">
        <v>49</v>
      </c>
      <c r="L292">
        <v>9506.93</v>
      </c>
    </row>
    <row r="293" spans="1:12" x14ac:dyDescent="0.3">
      <c r="A293" t="s">
        <v>556</v>
      </c>
      <c r="B293" t="s">
        <v>143</v>
      </c>
      <c r="C293" t="s">
        <v>56</v>
      </c>
      <c r="D293" t="s">
        <v>15</v>
      </c>
      <c r="E293" t="s">
        <v>154</v>
      </c>
      <c r="F293" t="s">
        <v>25</v>
      </c>
      <c r="G293" t="s">
        <v>26</v>
      </c>
      <c r="H293" t="s">
        <v>27</v>
      </c>
      <c r="I293">
        <v>53605</v>
      </c>
      <c r="J293">
        <v>7</v>
      </c>
      <c r="K293" t="s">
        <v>49</v>
      </c>
      <c r="L293">
        <v>7013.7</v>
      </c>
    </row>
    <row r="294" spans="1:12" x14ac:dyDescent="0.3">
      <c r="A294" t="s">
        <v>557</v>
      </c>
      <c r="B294" t="s">
        <v>516</v>
      </c>
      <c r="C294" t="s">
        <v>66</v>
      </c>
      <c r="D294" t="s">
        <v>23</v>
      </c>
      <c r="E294" t="s">
        <v>24</v>
      </c>
      <c r="F294" t="s">
        <v>46</v>
      </c>
      <c r="G294" t="s">
        <v>94</v>
      </c>
      <c r="H294" t="s">
        <v>95</v>
      </c>
      <c r="I294">
        <v>25708</v>
      </c>
      <c r="J294">
        <v>4</v>
      </c>
      <c r="K294" t="s">
        <v>53</v>
      </c>
      <c r="L294">
        <v>6283.03</v>
      </c>
    </row>
    <row r="295" spans="1:12" x14ac:dyDescent="0.3">
      <c r="A295" t="s">
        <v>558</v>
      </c>
      <c r="B295" t="s">
        <v>559</v>
      </c>
      <c r="C295" t="s">
        <v>63</v>
      </c>
      <c r="D295" t="s">
        <v>32</v>
      </c>
      <c r="E295" t="s">
        <v>116</v>
      </c>
      <c r="F295" t="s">
        <v>25</v>
      </c>
      <c r="G295" t="s">
        <v>26</v>
      </c>
      <c r="H295" t="s">
        <v>27</v>
      </c>
      <c r="I295">
        <v>67937</v>
      </c>
      <c r="J295">
        <v>6</v>
      </c>
      <c r="K295" t="s">
        <v>34</v>
      </c>
      <c r="L295">
        <v>10285.540000000001</v>
      </c>
    </row>
    <row r="296" spans="1:12" x14ac:dyDescent="0.3">
      <c r="A296" t="s">
        <v>560</v>
      </c>
      <c r="B296" t="s">
        <v>561</v>
      </c>
      <c r="C296" t="s">
        <v>37</v>
      </c>
      <c r="D296" t="s">
        <v>15</v>
      </c>
      <c r="E296" t="s">
        <v>73</v>
      </c>
      <c r="F296" t="s">
        <v>25</v>
      </c>
      <c r="G296" t="s">
        <v>40</v>
      </c>
      <c r="H296" t="s">
        <v>41</v>
      </c>
      <c r="I296">
        <v>65367</v>
      </c>
      <c r="J296">
        <v>7</v>
      </c>
      <c r="K296" t="s">
        <v>28</v>
      </c>
      <c r="L296">
        <v>15667.81</v>
      </c>
    </row>
    <row r="297" spans="1:12" x14ac:dyDescent="0.3">
      <c r="A297" t="s">
        <v>562</v>
      </c>
      <c r="B297" t="s">
        <v>312</v>
      </c>
      <c r="C297" t="s">
        <v>31</v>
      </c>
      <c r="D297" t="s">
        <v>23</v>
      </c>
      <c r="E297" t="s">
        <v>24</v>
      </c>
      <c r="F297" t="s">
        <v>46</v>
      </c>
      <c r="G297" t="s">
        <v>47</v>
      </c>
      <c r="H297" t="s">
        <v>48</v>
      </c>
      <c r="I297">
        <v>78406</v>
      </c>
      <c r="J297">
        <v>7</v>
      </c>
      <c r="K297" t="s">
        <v>53</v>
      </c>
      <c r="L297">
        <v>14053.4</v>
      </c>
    </row>
    <row r="298" spans="1:12" x14ac:dyDescent="0.3">
      <c r="A298" t="s">
        <v>563</v>
      </c>
      <c r="B298" t="s">
        <v>564</v>
      </c>
      <c r="C298" t="s">
        <v>63</v>
      </c>
      <c r="D298" t="s">
        <v>38</v>
      </c>
      <c r="E298" t="s">
        <v>67</v>
      </c>
      <c r="F298" t="s">
        <v>46</v>
      </c>
      <c r="G298" t="s">
        <v>94</v>
      </c>
      <c r="H298" t="s">
        <v>95</v>
      </c>
      <c r="I298">
        <v>47680</v>
      </c>
      <c r="J298">
        <v>6</v>
      </c>
      <c r="K298" t="s">
        <v>28</v>
      </c>
      <c r="L298">
        <v>10636.12</v>
      </c>
    </row>
    <row r="299" spans="1:12" x14ac:dyDescent="0.3">
      <c r="A299" t="s">
        <v>565</v>
      </c>
      <c r="B299" t="s">
        <v>332</v>
      </c>
      <c r="C299" t="s">
        <v>44</v>
      </c>
      <c r="D299" t="s">
        <v>38</v>
      </c>
      <c r="E299" t="s">
        <v>67</v>
      </c>
      <c r="F299" t="s">
        <v>25</v>
      </c>
      <c r="G299" t="s">
        <v>26</v>
      </c>
      <c r="H299" t="s">
        <v>27</v>
      </c>
      <c r="I299">
        <v>3766</v>
      </c>
      <c r="J299">
        <v>1</v>
      </c>
      <c r="K299" t="s">
        <v>34</v>
      </c>
      <c r="L299">
        <v>642.41999999999996</v>
      </c>
    </row>
    <row r="300" spans="1:12" x14ac:dyDescent="0.3">
      <c r="A300" t="s">
        <v>566</v>
      </c>
      <c r="B300" t="s">
        <v>567</v>
      </c>
      <c r="C300" t="s">
        <v>44</v>
      </c>
      <c r="D300" t="s">
        <v>15</v>
      </c>
      <c r="E300" t="s">
        <v>16</v>
      </c>
      <c r="F300" t="s">
        <v>25</v>
      </c>
      <c r="G300" t="s">
        <v>26</v>
      </c>
      <c r="H300" t="s">
        <v>27</v>
      </c>
      <c r="I300">
        <v>26719</v>
      </c>
      <c r="J300">
        <v>2</v>
      </c>
      <c r="K300" t="s">
        <v>28</v>
      </c>
      <c r="L300">
        <v>3718.14</v>
      </c>
    </row>
    <row r="301" spans="1:12" x14ac:dyDescent="0.3">
      <c r="A301" t="s">
        <v>568</v>
      </c>
      <c r="B301" t="s">
        <v>555</v>
      </c>
      <c r="C301" t="s">
        <v>63</v>
      </c>
      <c r="D301" t="s">
        <v>32</v>
      </c>
      <c r="E301" t="s">
        <v>116</v>
      </c>
      <c r="F301" t="s">
        <v>46</v>
      </c>
      <c r="G301" t="s">
        <v>87</v>
      </c>
      <c r="H301" t="s">
        <v>88</v>
      </c>
      <c r="I301">
        <v>1808</v>
      </c>
      <c r="J301">
        <v>10</v>
      </c>
      <c r="K301" t="s">
        <v>20</v>
      </c>
      <c r="L301">
        <v>458.93</v>
      </c>
    </row>
    <row r="302" spans="1:12" x14ac:dyDescent="0.3">
      <c r="A302" t="s">
        <v>569</v>
      </c>
      <c r="B302" t="s">
        <v>570</v>
      </c>
      <c r="C302" t="s">
        <v>66</v>
      </c>
      <c r="D302" t="s">
        <v>15</v>
      </c>
      <c r="E302" t="s">
        <v>73</v>
      </c>
      <c r="F302" t="s">
        <v>46</v>
      </c>
      <c r="G302" t="s">
        <v>94</v>
      </c>
      <c r="H302" t="s">
        <v>95</v>
      </c>
      <c r="I302">
        <v>46979</v>
      </c>
      <c r="J302">
        <v>10</v>
      </c>
      <c r="K302" t="s">
        <v>34</v>
      </c>
      <c r="L302">
        <v>11836.18</v>
      </c>
    </row>
    <row r="303" spans="1:12" x14ac:dyDescent="0.3">
      <c r="A303" t="s">
        <v>571</v>
      </c>
      <c r="B303" t="s">
        <v>572</v>
      </c>
      <c r="C303" t="s">
        <v>66</v>
      </c>
      <c r="D303" t="s">
        <v>15</v>
      </c>
      <c r="E303" t="s">
        <v>16</v>
      </c>
      <c r="F303" t="s">
        <v>25</v>
      </c>
      <c r="G303" t="s">
        <v>57</v>
      </c>
      <c r="H303" t="s">
        <v>58</v>
      </c>
      <c r="I303">
        <v>66579</v>
      </c>
      <c r="J303">
        <v>4</v>
      </c>
      <c r="K303" t="s">
        <v>20</v>
      </c>
      <c r="L303">
        <v>14424.65</v>
      </c>
    </row>
    <row r="304" spans="1:12" x14ac:dyDescent="0.3">
      <c r="A304" t="s">
        <v>573</v>
      </c>
      <c r="B304" t="s">
        <v>375</v>
      </c>
      <c r="C304" t="s">
        <v>63</v>
      </c>
      <c r="D304" t="s">
        <v>32</v>
      </c>
      <c r="E304" t="s">
        <v>33</v>
      </c>
      <c r="F304" t="s">
        <v>25</v>
      </c>
      <c r="G304" t="s">
        <v>57</v>
      </c>
      <c r="H304" t="s">
        <v>58</v>
      </c>
      <c r="I304">
        <v>44559</v>
      </c>
      <c r="J304">
        <v>2</v>
      </c>
      <c r="K304" t="s">
        <v>34</v>
      </c>
      <c r="L304">
        <v>9650.4500000000007</v>
      </c>
    </row>
    <row r="305" spans="1:12" x14ac:dyDescent="0.3">
      <c r="A305" t="s">
        <v>574</v>
      </c>
      <c r="B305" t="s">
        <v>139</v>
      </c>
      <c r="C305" t="s">
        <v>91</v>
      </c>
      <c r="D305" t="s">
        <v>23</v>
      </c>
      <c r="E305" t="s">
        <v>24</v>
      </c>
      <c r="F305" t="s">
        <v>46</v>
      </c>
      <c r="G305" t="s">
        <v>47</v>
      </c>
      <c r="H305" t="s">
        <v>48</v>
      </c>
      <c r="I305">
        <v>57875</v>
      </c>
      <c r="J305">
        <v>6</v>
      </c>
      <c r="K305" t="s">
        <v>34</v>
      </c>
      <c r="L305">
        <v>8926.66</v>
      </c>
    </row>
    <row r="306" spans="1:12" x14ac:dyDescent="0.3">
      <c r="A306" t="s">
        <v>575</v>
      </c>
      <c r="B306" t="s">
        <v>460</v>
      </c>
      <c r="C306" t="s">
        <v>37</v>
      </c>
      <c r="D306" t="s">
        <v>38</v>
      </c>
      <c r="E306" t="s">
        <v>67</v>
      </c>
      <c r="F306" t="s">
        <v>17</v>
      </c>
      <c r="G306" t="s">
        <v>104</v>
      </c>
      <c r="H306" t="s">
        <v>105</v>
      </c>
      <c r="I306">
        <v>52336</v>
      </c>
      <c r="J306">
        <v>10</v>
      </c>
      <c r="K306" t="s">
        <v>20</v>
      </c>
      <c r="L306">
        <v>11338.67</v>
      </c>
    </row>
    <row r="307" spans="1:12" x14ac:dyDescent="0.3">
      <c r="A307" t="s">
        <v>576</v>
      </c>
      <c r="B307" t="s">
        <v>577</v>
      </c>
      <c r="C307" t="s">
        <v>121</v>
      </c>
      <c r="D307" t="s">
        <v>23</v>
      </c>
      <c r="E307" t="s">
        <v>82</v>
      </c>
      <c r="F307" t="s">
        <v>25</v>
      </c>
      <c r="G307" t="s">
        <v>40</v>
      </c>
      <c r="H307" t="s">
        <v>41</v>
      </c>
      <c r="I307">
        <v>56792</v>
      </c>
      <c r="J307">
        <v>10</v>
      </c>
      <c r="K307" t="s">
        <v>34</v>
      </c>
      <c r="L307">
        <v>8633.0300000000007</v>
      </c>
    </row>
    <row r="308" spans="1:12" x14ac:dyDescent="0.3">
      <c r="A308" t="s">
        <v>578</v>
      </c>
      <c r="B308" t="s">
        <v>312</v>
      </c>
      <c r="C308" t="s">
        <v>66</v>
      </c>
      <c r="D308" t="s">
        <v>23</v>
      </c>
      <c r="E308" t="s">
        <v>129</v>
      </c>
      <c r="F308" t="s">
        <v>17</v>
      </c>
      <c r="G308" t="s">
        <v>76</v>
      </c>
      <c r="H308" t="s">
        <v>77</v>
      </c>
      <c r="I308">
        <v>20380</v>
      </c>
      <c r="J308">
        <v>9</v>
      </c>
      <c r="K308" t="s">
        <v>28</v>
      </c>
      <c r="L308">
        <v>4092.07</v>
      </c>
    </row>
    <row r="309" spans="1:12" x14ac:dyDescent="0.3">
      <c r="A309" t="s">
        <v>579</v>
      </c>
      <c r="B309" t="s">
        <v>249</v>
      </c>
      <c r="C309" t="s">
        <v>91</v>
      </c>
      <c r="D309" t="s">
        <v>15</v>
      </c>
      <c r="E309" t="s">
        <v>73</v>
      </c>
      <c r="F309" t="s">
        <v>46</v>
      </c>
      <c r="G309" t="s">
        <v>87</v>
      </c>
      <c r="H309" t="s">
        <v>88</v>
      </c>
      <c r="I309">
        <v>1484</v>
      </c>
      <c r="J309">
        <v>2</v>
      </c>
      <c r="K309" t="s">
        <v>28</v>
      </c>
      <c r="L309">
        <v>140.34</v>
      </c>
    </row>
    <row r="310" spans="1:12" x14ac:dyDescent="0.3">
      <c r="A310" t="s">
        <v>580</v>
      </c>
      <c r="B310" t="s">
        <v>257</v>
      </c>
      <c r="C310" t="s">
        <v>14</v>
      </c>
      <c r="D310" t="s">
        <v>38</v>
      </c>
      <c r="E310" t="s">
        <v>67</v>
      </c>
      <c r="F310" t="s">
        <v>46</v>
      </c>
      <c r="G310" t="s">
        <v>47</v>
      </c>
      <c r="H310" t="s">
        <v>48</v>
      </c>
      <c r="I310">
        <v>72895</v>
      </c>
      <c r="J310">
        <v>5</v>
      </c>
      <c r="K310" t="s">
        <v>28</v>
      </c>
      <c r="L310">
        <v>6601.62</v>
      </c>
    </row>
    <row r="311" spans="1:12" x14ac:dyDescent="0.3">
      <c r="A311" t="s">
        <v>581</v>
      </c>
      <c r="B311" t="s">
        <v>336</v>
      </c>
      <c r="C311" t="s">
        <v>72</v>
      </c>
      <c r="D311" t="s">
        <v>38</v>
      </c>
      <c r="E311" t="s">
        <v>67</v>
      </c>
      <c r="F311" t="s">
        <v>46</v>
      </c>
      <c r="G311" t="s">
        <v>87</v>
      </c>
      <c r="H311" t="s">
        <v>88</v>
      </c>
      <c r="I311">
        <v>35456</v>
      </c>
      <c r="J311">
        <v>1</v>
      </c>
      <c r="K311" t="s">
        <v>20</v>
      </c>
      <c r="L311">
        <v>9762.77</v>
      </c>
    </row>
    <row r="312" spans="1:12" x14ac:dyDescent="0.3">
      <c r="A312" t="s">
        <v>582</v>
      </c>
      <c r="B312" t="s">
        <v>583</v>
      </c>
      <c r="C312" t="s">
        <v>31</v>
      </c>
      <c r="D312" t="s">
        <v>32</v>
      </c>
      <c r="E312" t="s">
        <v>45</v>
      </c>
      <c r="F312" t="s">
        <v>17</v>
      </c>
      <c r="G312" t="s">
        <v>76</v>
      </c>
      <c r="H312" t="s">
        <v>77</v>
      </c>
      <c r="I312">
        <v>6617</v>
      </c>
      <c r="J312">
        <v>3</v>
      </c>
      <c r="K312" t="s">
        <v>20</v>
      </c>
      <c r="L312">
        <v>1300.26</v>
      </c>
    </row>
    <row r="313" spans="1:12" x14ac:dyDescent="0.3">
      <c r="A313" t="s">
        <v>584</v>
      </c>
      <c r="B313" t="s">
        <v>283</v>
      </c>
      <c r="C313" t="s">
        <v>14</v>
      </c>
      <c r="D313" t="s">
        <v>15</v>
      </c>
      <c r="E313" t="s">
        <v>73</v>
      </c>
      <c r="F313" t="s">
        <v>25</v>
      </c>
      <c r="G313" t="s">
        <v>26</v>
      </c>
      <c r="H313" t="s">
        <v>27</v>
      </c>
      <c r="I313">
        <v>29629</v>
      </c>
      <c r="J313">
        <v>9</v>
      </c>
      <c r="K313" t="s">
        <v>20</v>
      </c>
      <c r="L313">
        <v>7017.94</v>
      </c>
    </row>
    <row r="314" spans="1:12" x14ac:dyDescent="0.3">
      <c r="A314" t="s">
        <v>585</v>
      </c>
      <c r="B314" t="s">
        <v>182</v>
      </c>
      <c r="C314" t="s">
        <v>63</v>
      </c>
      <c r="D314" t="s">
        <v>23</v>
      </c>
      <c r="E314" t="s">
        <v>24</v>
      </c>
      <c r="F314" t="s">
        <v>25</v>
      </c>
      <c r="G314" t="s">
        <v>57</v>
      </c>
      <c r="H314" t="s">
        <v>58</v>
      </c>
      <c r="I314">
        <v>5550</v>
      </c>
      <c r="J314">
        <v>1</v>
      </c>
      <c r="K314" t="s">
        <v>20</v>
      </c>
      <c r="L314">
        <v>1156.26</v>
      </c>
    </row>
    <row r="315" spans="1:12" x14ac:dyDescent="0.3">
      <c r="A315" t="s">
        <v>586</v>
      </c>
      <c r="B315" t="s">
        <v>587</v>
      </c>
      <c r="C315" t="s">
        <v>44</v>
      </c>
      <c r="D315" t="s">
        <v>15</v>
      </c>
      <c r="E315" t="s">
        <v>16</v>
      </c>
      <c r="F315" t="s">
        <v>46</v>
      </c>
      <c r="G315" t="s">
        <v>87</v>
      </c>
      <c r="H315" t="s">
        <v>88</v>
      </c>
      <c r="I315">
        <v>12218</v>
      </c>
      <c r="J315">
        <v>3</v>
      </c>
      <c r="K315" t="s">
        <v>34</v>
      </c>
      <c r="L315">
        <v>2788.91</v>
      </c>
    </row>
    <row r="316" spans="1:12" x14ac:dyDescent="0.3">
      <c r="A316" t="s">
        <v>588</v>
      </c>
      <c r="B316" t="s">
        <v>589</v>
      </c>
      <c r="C316" t="s">
        <v>44</v>
      </c>
      <c r="D316" t="s">
        <v>15</v>
      </c>
      <c r="E316" t="s">
        <v>16</v>
      </c>
      <c r="F316" t="s">
        <v>25</v>
      </c>
      <c r="G316" t="s">
        <v>26</v>
      </c>
      <c r="H316" t="s">
        <v>27</v>
      </c>
      <c r="I316">
        <v>18972</v>
      </c>
      <c r="J316">
        <v>5</v>
      </c>
      <c r="K316" t="s">
        <v>28</v>
      </c>
      <c r="L316">
        <v>2406.0500000000002</v>
      </c>
    </row>
    <row r="317" spans="1:12" x14ac:dyDescent="0.3">
      <c r="A317" t="s">
        <v>590</v>
      </c>
      <c r="B317" t="s">
        <v>491</v>
      </c>
      <c r="C317" t="s">
        <v>63</v>
      </c>
      <c r="D317" t="s">
        <v>38</v>
      </c>
      <c r="E317" t="s">
        <v>52</v>
      </c>
      <c r="F317" t="s">
        <v>25</v>
      </c>
      <c r="G317" t="s">
        <v>40</v>
      </c>
      <c r="H317" t="s">
        <v>41</v>
      </c>
      <c r="I317">
        <v>58774</v>
      </c>
      <c r="J317">
        <v>10</v>
      </c>
      <c r="K317" t="s">
        <v>53</v>
      </c>
      <c r="L317">
        <v>8859.11</v>
      </c>
    </row>
    <row r="318" spans="1:12" x14ac:dyDescent="0.3">
      <c r="A318" t="s">
        <v>591</v>
      </c>
      <c r="B318" t="s">
        <v>592</v>
      </c>
      <c r="C318" t="s">
        <v>91</v>
      </c>
      <c r="D318" t="s">
        <v>15</v>
      </c>
      <c r="E318" t="s">
        <v>154</v>
      </c>
      <c r="F318" t="s">
        <v>25</v>
      </c>
      <c r="G318" t="s">
        <v>26</v>
      </c>
      <c r="H318" t="s">
        <v>27</v>
      </c>
      <c r="I318">
        <v>18861</v>
      </c>
      <c r="J318">
        <v>8</v>
      </c>
      <c r="K318" t="s">
        <v>34</v>
      </c>
      <c r="L318">
        <v>3436.6</v>
      </c>
    </row>
    <row r="319" spans="1:12" x14ac:dyDescent="0.3">
      <c r="A319" t="s">
        <v>593</v>
      </c>
      <c r="B319" t="s">
        <v>594</v>
      </c>
      <c r="C319" t="s">
        <v>31</v>
      </c>
      <c r="D319" t="s">
        <v>15</v>
      </c>
      <c r="E319" t="s">
        <v>16</v>
      </c>
      <c r="F319" t="s">
        <v>25</v>
      </c>
      <c r="G319" t="s">
        <v>40</v>
      </c>
      <c r="H319" t="s">
        <v>41</v>
      </c>
      <c r="I319">
        <v>39950</v>
      </c>
      <c r="J319">
        <v>5</v>
      </c>
      <c r="K319" t="s">
        <v>53</v>
      </c>
      <c r="L319">
        <v>7298.18</v>
      </c>
    </row>
    <row r="320" spans="1:12" x14ac:dyDescent="0.3">
      <c r="A320" t="s">
        <v>595</v>
      </c>
      <c r="B320" t="s">
        <v>508</v>
      </c>
      <c r="C320" t="s">
        <v>63</v>
      </c>
      <c r="D320" t="s">
        <v>23</v>
      </c>
      <c r="E320" t="s">
        <v>24</v>
      </c>
      <c r="F320" t="s">
        <v>25</v>
      </c>
      <c r="G320" t="s">
        <v>57</v>
      </c>
      <c r="H320" t="s">
        <v>58</v>
      </c>
      <c r="I320">
        <v>71309</v>
      </c>
      <c r="J320">
        <v>8</v>
      </c>
      <c r="K320" t="s">
        <v>34</v>
      </c>
      <c r="L320">
        <v>18402.75</v>
      </c>
    </row>
    <row r="321" spans="1:12" x14ac:dyDescent="0.3">
      <c r="A321" t="s">
        <v>596</v>
      </c>
      <c r="B321" t="s">
        <v>597</v>
      </c>
      <c r="C321" t="s">
        <v>14</v>
      </c>
      <c r="D321" t="s">
        <v>38</v>
      </c>
      <c r="E321" t="s">
        <v>67</v>
      </c>
      <c r="F321" t="s">
        <v>25</v>
      </c>
      <c r="G321" t="s">
        <v>26</v>
      </c>
      <c r="H321" t="s">
        <v>27</v>
      </c>
      <c r="I321">
        <v>60287</v>
      </c>
      <c r="J321">
        <v>9</v>
      </c>
      <c r="K321" t="s">
        <v>49</v>
      </c>
      <c r="L321">
        <v>6004.13</v>
      </c>
    </row>
    <row r="322" spans="1:12" x14ac:dyDescent="0.3">
      <c r="A322" t="s">
        <v>598</v>
      </c>
      <c r="B322" t="s">
        <v>450</v>
      </c>
      <c r="C322" t="s">
        <v>14</v>
      </c>
      <c r="D322" t="s">
        <v>32</v>
      </c>
      <c r="E322" t="s">
        <v>33</v>
      </c>
      <c r="F322" t="s">
        <v>25</v>
      </c>
      <c r="G322" t="s">
        <v>40</v>
      </c>
      <c r="H322" t="s">
        <v>41</v>
      </c>
      <c r="I322">
        <v>66733</v>
      </c>
      <c r="J322">
        <v>2</v>
      </c>
      <c r="K322" t="s">
        <v>20</v>
      </c>
      <c r="L322">
        <v>14703.47</v>
      </c>
    </row>
    <row r="323" spans="1:12" x14ac:dyDescent="0.3">
      <c r="A323" t="s">
        <v>599</v>
      </c>
      <c r="B323" t="s">
        <v>600</v>
      </c>
      <c r="C323" t="s">
        <v>66</v>
      </c>
      <c r="D323" t="s">
        <v>38</v>
      </c>
      <c r="E323" t="s">
        <v>52</v>
      </c>
      <c r="F323" t="s">
        <v>46</v>
      </c>
      <c r="G323" t="s">
        <v>87</v>
      </c>
      <c r="H323" t="s">
        <v>88</v>
      </c>
      <c r="I323">
        <v>60129</v>
      </c>
      <c r="J323">
        <v>1</v>
      </c>
      <c r="K323" t="s">
        <v>20</v>
      </c>
      <c r="L323">
        <v>11891.98</v>
      </c>
    </row>
    <row r="324" spans="1:12" x14ac:dyDescent="0.3">
      <c r="A324" t="s">
        <v>601</v>
      </c>
      <c r="B324" t="s">
        <v>602</v>
      </c>
      <c r="C324" t="s">
        <v>72</v>
      </c>
      <c r="D324" t="s">
        <v>15</v>
      </c>
      <c r="E324" t="s">
        <v>16</v>
      </c>
      <c r="F324" t="s">
        <v>25</v>
      </c>
      <c r="G324" t="s">
        <v>26</v>
      </c>
      <c r="H324" t="s">
        <v>27</v>
      </c>
      <c r="I324">
        <v>14485</v>
      </c>
      <c r="J324">
        <v>6</v>
      </c>
      <c r="K324" t="s">
        <v>53</v>
      </c>
      <c r="L324">
        <v>3318.27</v>
      </c>
    </row>
    <row r="325" spans="1:12" x14ac:dyDescent="0.3">
      <c r="A325" t="s">
        <v>603</v>
      </c>
      <c r="B325" t="s">
        <v>604</v>
      </c>
      <c r="C325" t="s">
        <v>37</v>
      </c>
      <c r="D325" t="s">
        <v>23</v>
      </c>
      <c r="E325" t="s">
        <v>24</v>
      </c>
      <c r="F325" t="s">
        <v>25</v>
      </c>
      <c r="G325" t="s">
        <v>26</v>
      </c>
      <c r="H325" t="s">
        <v>27</v>
      </c>
      <c r="I325">
        <v>19018</v>
      </c>
      <c r="J325">
        <v>7</v>
      </c>
      <c r="K325" t="s">
        <v>20</v>
      </c>
      <c r="L325">
        <v>2029.79</v>
      </c>
    </row>
    <row r="326" spans="1:12" x14ac:dyDescent="0.3">
      <c r="A326" t="s">
        <v>605</v>
      </c>
      <c r="B326" t="s">
        <v>606</v>
      </c>
      <c r="C326" t="s">
        <v>37</v>
      </c>
      <c r="D326" t="s">
        <v>23</v>
      </c>
      <c r="E326" t="s">
        <v>24</v>
      </c>
      <c r="F326" t="s">
        <v>17</v>
      </c>
      <c r="G326" t="s">
        <v>104</v>
      </c>
      <c r="H326" t="s">
        <v>105</v>
      </c>
      <c r="I326">
        <v>62972</v>
      </c>
      <c r="J326">
        <v>1</v>
      </c>
      <c r="K326" t="s">
        <v>49</v>
      </c>
      <c r="L326">
        <v>12641.89</v>
      </c>
    </row>
    <row r="327" spans="1:12" x14ac:dyDescent="0.3">
      <c r="A327" t="s">
        <v>607</v>
      </c>
      <c r="B327" t="s">
        <v>608</v>
      </c>
      <c r="C327" t="s">
        <v>121</v>
      </c>
      <c r="D327" t="s">
        <v>32</v>
      </c>
      <c r="E327" t="s">
        <v>33</v>
      </c>
      <c r="F327" t="s">
        <v>46</v>
      </c>
      <c r="G327" t="s">
        <v>94</v>
      </c>
      <c r="H327" t="s">
        <v>95</v>
      </c>
      <c r="I327">
        <v>69905</v>
      </c>
      <c r="J327">
        <v>10</v>
      </c>
      <c r="K327" t="s">
        <v>28</v>
      </c>
      <c r="L327">
        <v>13482.22</v>
      </c>
    </row>
    <row r="328" spans="1:12" x14ac:dyDescent="0.3">
      <c r="A328" t="s">
        <v>609</v>
      </c>
      <c r="B328" t="s">
        <v>610</v>
      </c>
      <c r="C328" t="s">
        <v>63</v>
      </c>
      <c r="D328" t="s">
        <v>15</v>
      </c>
      <c r="E328" t="s">
        <v>73</v>
      </c>
      <c r="F328" t="s">
        <v>25</v>
      </c>
      <c r="G328" t="s">
        <v>26</v>
      </c>
      <c r="H328" t="s">
        <v>27</v>
      </c>
      <c r="I328">
        <v>65797</v>
      </c>
      <c r="J328">
        <v>4</v>
      </c>
      <c r="K328" t="s">
        <v>28</v>
      </c>
      <c r="L328">
        <v>6259.17</v>
      </c>
    </row>
    <row r="329" spans="1:12" x14ac:dyDescent="0.3">
      <c r="A329" t="s">
        <v>611</v>
      </c>
      <c r="B329" t="s">
        <v>612</v>
      </c>
      <c r="C329" t="s">
        <v>121</v>
      </c>
      <c r="D329" t="s">
        <v>32</v>
      </c>
      <c r="E329" t="s">
        <v>116</v>
      </c>
      <c r="F329" t="s">
        <v>17</v>
      </c>
      <c r="G329" t="s">
        <v>76</v>
      </c>
      <c r="H329" t="s">
        <v>77</v>
      </c>
      <c r="I329">
        <v>52419</v>
      </c>
      <c r="J329">
        <v>6</v>
      </c>
      <c r="K329" t="s">
        <v>53</v>
      </c>
      <c r="L329">
        <v>5805.02</v>
      </c>
    </row>
    <row r="330" spans="1:12" x14ac:dyDescent="0.3">
      <c r="A330" t="s">
        <v>613</v>
      </c>
      <c r="B330" t="s">
        <v>614</v>
      </c>
      <c r="C330" t="s">
        <v>37</v>
      </c>
      <c r="D330" t="s">
        <v>32</v>
      </c>
      <c r="E330" t="s">
        <v>45</v>
      </c>
      <c r="F330" t="s">
        <v>25</v>
      </c>
      <c r="G330" t="s">
        <v>57</v>
      </c>
      <c r="H330" t="s">
        <v>58</v>
      </c>
      <c r="I330">
        <v>17059</v>
      </c>
      <c r="J330">
        <v>7</v>
      </c>
      <c r="K330" t="s">
        <v>28</v>
      </c>
      <c r="L330">
        <v>2073.4699999999998</v>
      </c>
    </row>
    <row r="331" spans="1:12" x14ac:dyDescent="0.3">
      <c r="A331" t="s">
        <v>615</v>
      </c>
      <c r="B331" t="s">
        <v>616</v>
      </c>
      <c r="C331" t="s">
        <v>121</v>
      </c>
      <c r="D331" t="s">
        <v>32</v>
      </c>
      <c r="E331" t="s">
        <v>116</v>
      </c>
      <c r="F331" t="s">
        <v>25</v>
      </c>
      <c r="G331" t="s">
        <v>26</v>
      </c>
      <c r="H331" t="s">
        <v>27</v>
      </c>
      <c r="I331">
        <v>36373</v>
      </c>
      <c r="J331">
        <v>6</v>
      </c>
      <c r="K331" t="s">
        <v>53</v>
      </c>
      <c r="L331">
        <v>5328.88</v>
      </c>
    </row>
    <row r="332" spans="1:12" x14ac:dyDescent="0.3">
      <c r="A332" t="s">
        <v>617</v>
      </c>
      <c r="B332" t="s">
        <v>612</v>
      </c>
      <c r="C332" t="s">
        <v>91</v>
      </c>
      <c r="D332" t="s">
        <v>38</v>
      </c>
      <c r="E332" t="s">
        <v>39</v>
      </c>
      <c r="F332" t="s">
        <v>25</v>
      </c>
      <c r="G332" t="s">
        <v>26</v>
      </c>
      <c r="H332" t="s">
        <v>27</v>
      </c>
      <c r="I332">
        <v>75216</v>
      </c>
      <c r="J332">
        <v>9</v>
      </c>
      <c r="K332" t="s">
        <v>53</v>
      </c>
      <c r="L332">
        <v>10143.31</v>
      </c>
    </row>
    <row r="333" spans="1:12" x14ac:dyDescent="0.3">
      <c r="A333" t="s">
        <v>618</v>
      </c>
      <c r="B333" t="s">
        <v>290</v>
      </c>
      <c r="C333" t="s">
        <v>63</v>
      </c>
      <c r="D333" t="s">
        <v>38</v>
      </c>
      <c r="E333" t="s">
        <v>67</v>
      </c>
      <c r="F333" t="s">
        <v>17</v>
      </c>
      <c r="G333" t="s">
        <v>76</v>
      </c>
      <c r="H333" t="s">
        <v>77</v>
      </c>
      <c r="I333">
        <v>8670</v>
      </c>
      <c r="J333">
        <v>2</v>
      </c>
      <c r="K333" t="s">
        <v>20</v>
      </c>
      <c r="L333">
        <v>1202.78</v>
      </c>
    </row>
    <row r="334" spans="1:12" x14ac:dyDescent="0.3">
      <c r="A334" t="s">
        <v>619</v>
      </c>
      <c r="B334" t="s">
        <v>620</v>
      </c>
      <c r="C334" t="s">
        <v>44</v>
      </c>
      <c r="D334" t="s">
        <v>23</v>
      </c>
      <c r="E334" t="s">
        <v>24</v>
      </c>
      <c r="F334" t="s">
        <v>17</v>
      </c>
      <c r="G334" t="s">
        <v>18</v>
      </c>
      <c r="H334" t="s">
        <v>19</v>
      </c>
      <c r="I334">
        <v>43387</v>
      </c>
      <c r="J334">
        <v>3</v>
      </c>
      <c r="K334" t="s">
        <v>28</v>
      </c>
      <c r="L334">
        <v>11164.93</v>
      </c>
    </row>
    <row r="335" spans="1:12" x14ac:dyDescent="0.3">
      <c r="A335" t="s">
        <v>621</v>
      </c>
      <c r="B335" t="s">
        <v>230</v>
      </c>
      <c r="C335" t="s">
        <v>121</v>
      </c>
      <c r="D335" t="s">
        <v>38</v>
      </c>
      <c r="E335" t="s">
        <v>67</v>
      </c>
      <c r="F335" t="s">
        <v>25</v>
      </c>
      <c r="G335" t="s">
        <v>26</v>
      </c>
      <c r="H335" t="s">
        <v>27</v>
      </c>
      <c r="I335">
        <v>14847</v>
      </c>
      <c r="J335">
        <v>1</v>
      </c>
      <c r="K335" t="s">
        <v>20</v>
      </c>
      <c r="L335">
        <v>2596.33</v>
      </c>
    </row>
    <row r="336" spans="1:12" x14ac:dyDescent="0.3">
      <c r="A336" t="s">
        <v>622</v>
      </c>
      <c r="B336" t="s">
        <v>623</v>
      </c>
      <c r="C336" t="s">
        <v>44</v>
      </c>
      <c r="D336" t="s">
        <v>32</v>
      </c>
      <c r="E336" t="s">
        <v>116</v>
      </c>
      <c r="F336" t="s">
        <v>17</v>
      </c>
      <c r="G336" t="s">
        <v>18</v>
      </c>
      <c r="H336" t="s">
        <v>19</v>
      </c>
      <c r="I336">
        <v>29356</v>
      </c>
      <c r="J336">
        <v>6</v>
      </c>
      <c r="K336" t="s">
        <v>28</v>
      </c>
      <c r="L336">
        <v>2587.69</v>
      </c>
    </row>
    <row r="337" spans="1:12" x14ac:dyDescent="0.3">
      <c r="A337" t="s">
        <v>624</v>
      </c>
      <c r="B337" t="s">
        <v>158</v>
      </c>
      <c r="C337" t="s">
        <v>37</v>
      </c>
      <c r="D337" t="s">
        <v>15</v>
      </c>
      <c r="E337" t="s">
        <v>154</v>
      </c>
      <c r="F337" t="s">
        <v>17</v>
      </c>
      <c r="G337" t="s">
        <v>18</v>
      </c>
      <c r="H337" t="s">
        <v>19</v>
      </c>
      <c r="I337">
        <v>59649</v>
      </c>
      <c r="J337">
        <v>3</v>
      </c>
      <c r="K337" t="s">
        <v>49</v>
      </c>
      <c r="L337">
        <v>8654.6299999999992</v>
      </c>
    </row>
    <row r="338" spans="1:12" x14ac:dyDescent="0.3">
      <c r="A338" t="s">
        <v>625</v>
      </c>
      <c r="B338" t="s">
        <v>626</v>
      </c>
      <c r="C338" t="s">
        <v>66</v>
      </c>
      <c r="D338" t="s">
        <v>32</v>
      </c>
      <c r="E338" t="s">
        <v>116</v>
      </c>
      <c r="F338" t="s">
        <v>25</v>
      </c>
      <c r="G338" t="s">
        <v>40</v>
      </c>
      <c r="H338" t="s">
        <v>41</v>
      </c>
      <c r="I338">
        <v>45170</v>
      </c>
      <c r="J338">
        <v>3</v>
      </c>
      <c r="K338" t="s">
        <v>28</v>
      </c>
      <c r="L338">
        <v>6546.02</v>
      </c>
    </row>
    <row r="339" spans="1:12" x14ac:dyDescent="0.3">
      <c r="A339" t="s">
        <v>627</v>
      </c>
      <c r="B339" t="s">
        <v>433</v>
      </c>
      <c r="C339" t="s">
        <v>31</v>
      </c>
      <c r="D339" t="s">
        <v>32</v>
      </c>
      <c r="E339" t="s">
        <v>33</v>
      </c>
      <c r="F339" t="s">
        <v>17</v>
      </c>
      <c r="G339" t="s">
        <v>18</v>
      </c>
      <c r="H339" t="s">
        <v>19</v>
      </c>
      <c r="I339">
        <v>44949</v>
      </c>
      <c r="J339">
        <v>2</v>
      </c>
      <c r="K339" t="s">
        <v>49</v>
      </c>
      <c r="L339">
        <v>8918.7099999999991</v>
      </c>
    </row>
    <row r="340" spans="1:12" x14ac:dyDescent="0.3">
      <c r="A340" t="s">
        <v>628</v>
      </c>
      <c r="B340" t="s">
        <v>420</v>
      </c>
      <c r="C340" t="s">
        <v>44</v>
      </c>
      <c r="D340" t="s">
        <v>23</v>
      </c>
      <c r="E340" t="s">
        <v>82</v>
      </c>
      <c r="F340" t="s">
        <v>46</v>
      </c>
      <c r="G340" t="s">
        <v>47</v>
      </c>
      <c r="H340" t="s">
        <v>48</v>
      </c>
      <c r="I340">
        <v>78791</v>
      </c>
      <c r="J340">
        <v>8</v>
      </c>
      <c r="K340" t="s">
        <v>49</v>
      </c>
      <c r="L340">
        <v>16085.13</v>
      </c>
    </row>
    <row r="341" spans="1:12" x14ac:dyDescent="0.3">
      <c r="A341" t="s">
        <v>629</v>
      </c>
      <c r="B341" t="s">
        <v>283</v>
      </c>
      <c r="C341" t="s">
        <v>31</v>
      </c>
      <c r="D341" t="s">
        <v>32</v>
      </c>
      <c r="E341" t="s">
        <v>45</v>
      </c>
      <c r="F341" t="s">
        <v>25</v>
      </c>
      <c r="G341" t="s">
        <v>57</v>
      </c>
      <c r="H341" t="s">
        <v>58</v>
      </c>
      <c r="I341">
        <v>5082</v>
      </c>
      <c r="J341">
        <v>2</v>
      </c>
      <c r="K341" t="s">
        <v>34</v>
      </c>
      <c r="L341">
        <v>1215.1300000000001</v>
      </c>
    </row>
    <row r="342" spans="1:12" x14ac:dyDescent="0.3">
      <c r="A342" t="s">
        <v>630</v>
      </c>
      <c r="B342" t="s">
        <v>631</v>
      </c>
      <c r="C342" t="s">
        <v>66</v>
      </c>
      <c r="D342" t="s">
        <v>15</v>
      </c>
      <c r="E342" t="s">
        <v>154</v>
      </c>
      <c r="F342" t="s">
        <v>17</v>
      </c>
      <c r="G342" t="s">
        <v>18</v>
      </c>
      <c r="H342" t="s">
        <v>19</v>
      </c>
      <c r="I342">
        <v>12931</v>
      </c>
      <c r="J342">
        <v>10</v>
      </c>
      <c r="K342" t="s">
        <v>28</v>
      </c>
      <c r="L342">
        <v>1056.07</v>
      </c>
    </row>
    <row r="343" spans="1:12" x14ac:dyDescent="0.3">
      <c r="A343" t="s">
        <v>632</v>
      </c>
      <c r="B343" t="s">
        <v>390</v>
      </c>
      <c r="C343" t="s">
        <v>31</v>
      </c>
      <c r="D343" t="s">
        <v>32</v>
      </c>
      <c r="E343" t="s">
        <v>116</v>
      </c>
      <c r="F343" t="s">
        <v>25</v>
      </c>
      <c r="G343" t="s">
        <v>57</v>
      </c>
      <c r="H343" t="s">
        <v>58</v>
      </c>
      <c r="I343">
        <v>68113</v>
      </c>
      <c r="J343">
        <v>10</v>
      </c>
      <c r="K343" t="s">
        <v>34</v>
      </c>
      <c r="L343">
        <v>12275.15</v>
      </c>
    </row>
    <row r="344" spans="1:12" x14ac:dyDescent="0.3">
      <c r="A344" t="s">
        <v>633</v>
      </c>
      <c r="B344" t="s">
        <v>634</v>
      </c>
      <c r="C344" t="s">
        <v>66</v>
      </c>
      <c r="D344" t="s">
        <v>32</v>
      </c>
      <c r="E344" t="s">
        <v>116</v>
      </c>
      <c r="F344" t="s">
        <v>17</v>
      </c>
      <c r="G344" t="s">
        <v>18</v>
      </c>
      <c r="H344" t="s">
        <v>19</v>
      </c>
      <c r="I344">
        <v>22254</v>
      </c>
      <c r="J344">
        <v>9</v>
      </c>
      <c r="K344" t="s">
        <v>49</v>
      </c>
      <c r="L344">
        <v>2569.37</v>
      </c>
    </row>
    <row r="345" spans="1:12" x14ac:dyDescent="0.3">
      <c r="A345" t="s">
        <v>635</v>
      </c>
      <c r="B345" t="s">
        <v>636</v>
      </c>
      <c r="C345" t="s">
        <v>14</v>
      </c>
      <c r="D345" t="s">
        <v>38</v>
      </c>
      <c r="E345" t="s">
        <v>39</v>
      </c>
      <c r="F345" t="s">
        <v>17</v>
      </c>
      <c r="G345" t="s">
        <v>18</v>
      </c>
      <c r="H345" t="s">
        <v>19</v>
      </c>
      <c r="I345">
        <v>29697</v>
      </c>
      <c r="J345">
        <v>9</v>
      </c>
      <c r="K345" t="s">
        <v>34</v>
      </c>
      <c r="L345">
        <v>2156.38</v>
      </c>
    </row>
    <row r="346" spans="1:12" x14ac:dyDescent="0.3">
      <c r="A346" t="s">
        <v>637</v>
      </c>
      <c r="B346" t="s">
        <v>243</v>
      </c>
      <c r="C346" t="s">
        <v>44</v>
      </c>
      <c r="D346" t="s">
        <v>23</v>
      </c>
      <c r="E346" t="s">
        <v>24</v>
      </c>
      <c r="F346" t="s">
        <v>46</v>
      </c>
      <c r="G346" t="s">
        <v>87</v>
      </c>
      <c r="H346" t="s">
        <v>88</v>
      </c>
      <c r="I346">
        <v>73329</v>
      </c>
      <c r="J346">
        <v>3</v>
      </c>
      <c r="K346" t="s">
        <v>49</v>
      </c>
      <c r="L346">
        <v>15786.5</v>
      </c>
    </row>
    <row r="347" spans="1:12" x14ac:dyDescent="0.3">
      <c r="A347" t="s">
        <v>638</v>
      </c>
      <c r="B347" t="s">
        <v>191</v>
      </c>
      <c r="C347" t="s">
        <v>37</v>
      </c>
      <c r="D347" t="s">
        <v>32</v>
      </c>
      <c r="E347" t="s">
        <v>33</v>
      </c>
      <c r="F347" t="s">
        <v>17</v>
      </c>
      <c r="G347" t="s">
        <v>18</v>
      </c>
      <c r="H347" t="s">
        <v>19</v>
      </c>
      <c r="I347">
        <v>61233</v>
      </c>
      <c r="J347">
        <v>9</v>
      </c>
      <c r="K347" t="s">
        <v>34</v>
      </c>
      <c r="L347">
        <v>9858.48</v>
      </c>
    </row>
    <row r="348" spans="1:12" x14ac:dyDescent="0.3">
      <c r="A348" t="s">
        <v>639</v>
      </c>
      <c r="B348" t="s">
        <v>299</v>
      </c>
      <c r="C348" t="s">
        <v>14</v>
      </c>
      <c r="D348" t="s">
        <v>38</v>
      </c>
      <c r="E348" t="s">
        <v>67</v>
      </c>
      <c r="F348" t="s">
        <v>46</v>
      </c>
      <c r="G348" t="s">
        <v>47</v>
      </c>
      <c r="H348" t="s">
        <v>48</v>
      </c>
      <c r="I348">
        <v>60656</v>
      </c>
      <c r="J348">
        <v>6</v>
      </c>
      <c r="K348" t="s">
        <v>34</v>
      </c>
      <c r="L348">
        <v>5379.9</v>
      </c>
    </row>
    <row r="349" spans="1:12" x14ac:dyDescent="0.3">
      <c r="A349" t="s">
        <v>640</v>
      </c>
      <c r="B349" t="s">
        <v>641</v>
      </c>
      <c r="C349" t="s">
        <v>63</v>
      </c>
      <c r="D349" t="s">
        <v>32</v>
      </c>
      <c r="E349" t="s">
        <v>33</v>
      </c>
      <c r="F349" t="s">
        <v>17</v>
      </c>
      <c r="G349" t="s">
        <v>76</v>
      </c>
      <c r="H349" t="s">
        <v>77</v>
      </c>
      <c r="I349">
        <v>40156</v>
      </c>
      <c r="J349">
        <v>6</v>
      </c>
      <c r="K349" t="s">
        <v>28</v>
      </c>
      <c r="L349">
        <v>5337.39</v>
      </c>
    </row>
    <row r="350" spans="1:12" x14ac:dyDescent="0.3">
      <c r="A350" t="s">
        <v>642</v>
      </c>
      <c r="B350" t="s">
        <v>643</v>
      </c>
      <c r="C350" t="s">
        <v>66</v>
      </c>
      <c r="D350" t="s">
        <v>23</v>
      </c>
      <c r="E350" t="s">
        <v>129</v>
      </c>
      <c r="F350" t="s">
        <v>46</v>
      </c>
      <c r="G350" t="s">
        <v>87</v>
      </c>
      <c r="H350" t="s">
        <v>88</v>
      </c>
      <c r="I350">
        <v>74936</v>
      </c>
      <c r="J350">
        <v>7</v>
      </c>
      <c r="K350" t="s">
        <v>34</v>
      </c>
      <c r="L350">
        <v>8370.57</v>
      </c>
    </row>
    <row r="351" spans="1:12" x14ac:dyDescent="0.3">
      <c r="A351" t="s">
        <v>644</v>
      </c>
      <c r="B351" t="s">
        <v>645</v>
      </c>
      <c r="C351" t="s">
        <v>121</v>
      </c>
      <c r="D351" t="s">
        <v>32</v>
      </c>
      <c r="E351" t="s">
        <v>33</v>
      </c>
      <c r="F351" t="s">
        <v>17</v>
      </c>
      <c r="G351" t="s">
        <v>18</v>
      </c>
      <c r="H351" t="s">
        <v>19</v>
      </c>
      <c r="I351">
        <v>71551</v>
      </c>
      <c r="J351">
        <v>4</v>
      </c>
      <c r="K351" t="s">
        <v>53</v>
      </c>
      <c r="L351">
        <v>18077.09</v>
      </c>
    </row>
    <row r="352" spans="1:12" x14ac:dyDescent="0.3">
      <c r="A352" t="s">
        <v>646</v>
      </c>
      <c r="B352" t="s">
        <v>647</v>
      </c>
      <c r="C352" t="s">
        <v>37</v>
      </c>
      <c r="D352" t="s">
        <v>32</v>
      </c>
      <c r="E352" t="s">
        <v>45</v>
      </c>
      <c r="F352" t="s">
        <v>25</v>
      </c>
      <c r="G352" t="s">
        <v>57</v>
      </c>
      <c r="H352" t="s">
        <v>58</v>
      </c>
      <c r="I352">
        <v>4558</v>
      </c>
      <c r="J352">
        <v>1</v>
      </c>
      <c r="K352" t="s">
        <v>20</v>
      </c>
      <c r="L352">
        <v>1216.48</v>
      </c>
    </row>
    <row r="353" spans="1:12" x14ac:dyDescent="0.3">
      <c r="A353" t="s">
        <v>648</v>
      </c>
      <c r="B353" t="s">
        <v>334</v>
      </c>
      <c r="C353" t="s">
        <v>37</v>
      </c>
      <c r="D353" t="s">
        <v>15</v>
      </c>
      <c r="E353" t="s">
        <v>154</v>
      </c>
      <c r="F353" t="s">
        <v>17</v>
      </c>
      <c r="G353" t="s">
        <v>76</v>
      </c>
      <c r="H353" t="s">
        <v>77</v>
      </c>
      <c r="I353">
        <v>61021</v>
      </c>
      <c r="J353">
        <v>2</v>
      </c>
      <c r="K353" t="s">
        <v>49</v>
      </c>
      <c r="L353">
        <v>15209.7</v>
      </c>
    </row>
    <row r="354" spans="1:12" x14ac:dyDescent="0.3">
      <c r="A354" t="s">
        <v>649</v>
      </c>
      <c r="B354" t="s">
        <v>174</v>
      </c>
      <c r="C354" t="s">
        <v>63</v>
      </c>
      <c r="D354" t="s">
        <v>23</v>
      </c>
      <c r="E354" t="s">
        <v>82</v>
      </c>
      <c r="F354" t="s">
        <v>46</v>
      </c>
      <c r="G354" t="s">
        <v>87</v>
      </c>
      <c r="H354" t="s">
        <v>88</v>
      </c>
      <c r="I354">
        <v>18514</v>
      </c>
      <c r="J354">
        <v>1</v>
      </c>
      <c r="K354" t="s">
        <v>53</v>
      </c>
      <c r="L354">
        <v>2760.5</v>
      </c>
    </row>
    <row r="355" spans="1:12" x14ac:dyDescent="0.3">
      <c r="A355" t="s">
        <v>650</v>
      </c>
      <c r="B355" t="s">
        <v>202</v>
      </c>
      <c r="C355" t="s">
        <v>91</v>
      </c>
      <c r="D355" t="s">
        <v>38</v>
      </c>
      <c r="E355" t="s">
        <v>67</v>
      </c>
      <c r="F355" t="s">
        <v>25</v>
      </c>
      <c r="G355" t="s">
        <v>40</v>
      </c>
      <c r="H355" t="s">
        <v>41</v>
      </c>
      <c r="I355">
        <v>6584</v>
      </c>
      <c r="J355">
        <v>7</v>
      </c>
      <c r="K355" t="s">
        <v>49</v>
      </c>
      <c r="L355">
        <v>1234.71</v>
      </c>
    </row>
    <row r="356" spans="1:12" x14ac:dyDescent="0.3">
      <c r="A356" t="s">
        <v>651</v>
      </c>
      <c r="B356" t="s">
        <v>652</v>
      </c>
      <c r="C356" t="s">
        <v>31</v>
      </c>
      <c r="D356" t="s">
        <v>15</v>
      </c>
      <c r="E356" t="s">
        <v>16</v>
      </c>
      <c r="F356" t="s">
        <v>17</v>
      </c>
      <c r="G356" t="s">
        <v>76</v>
      </c>
      <c r="H356" t="s">
        <v>77</v>
      </c>
      <c r="I356">
        <v>22510</v>
      </c>
      <c r="J356">
        <v>4</v>
      </c>
      <c r="K356" t="s">
        <v>53</v>
      </c>
      <c r="L356">
        <v>5512.95</v>
      </c>
    </row>
    <row r="357" spans="1:12" x14ac:dyDescent="0.3">
      <c r="A357" t="s">
        <v>653</v>
      </c>
      <c r="B357" t="s">
        <v>654</v>
      </c>
      <c r="C357" t="s">
        <v>14</v>
      </c>
      <c r="D357" t="s">
        <v>38</v>
      </c>
      <c r="E357" t="s">
        <v>52</v>
      </c>
      <c r="F357" t="s">
        <v>46</v>
      </c>
      <c r="G357" t="s">
        <v>47</v>
      </c>
      <c r="H357" t="s">
        <v>48</v>
      </c>
      <c r="I357">
        <v>22330</v>
      </c>
      <c r="J357">
        <v>2</v>
      </c>
      <c r="K357" t="s">
        <v>53</v>
      </c>
      <c r="L357">
        <v>1592.56</v>
      </c>
    </row>
    <row r="358" spans="1:12" x14ac:dyDescent="0.3">
      <c r="A358" t="s">
        <v>655</v>
      </c>
      <c r="B358" t="s">
        <v>656</v>
      </c>
      <c r="C358" t="s">
        <v>44</v>
      </c>
      <c r="D358" t="s">
        <v>23</v>
      </c>
      <c r="E358" t="s">
        <v>129</v>
      </c>
      <c r="F358" t="s">
        <v>25</v>
      </c>
      <c r="G358" t="s">
        <v>40</v>
      </c>
      <c r="H358" t="s">
        <v>41</v>
      </c>
      <c r="I358">
        <v>3691</v>
      </c>
      <c r="J358">
        <v>4</v>
      </c>
      <c r="K358" t="s">
        <v>28</v>
      </c>
      <c r="L358">
        <v>789.02</v>
      </c>
    </row>
    <row r="359" spans="1:12" x14ac:dyDescent="0.3">
      <c r="A359" t="s">
        <v>657</v>
      </c>
      <c r="B359" t="s">
        <v>172</v>
      </c>
      <c r="C359" t="s">
        <v>14</v>
      </c>
      <c r="D359" t="s">
        <v>32</v>
      </c>
      <c r="E359" t="s">
        <v>116</v>
      </c>
      <c r="F359" t="s">
        <v>46</v>
      </c>
      <c r="G359" t="s">
        <v>94</v>
      </c>
      <c r="H359" t="s">
        <v>95</v>
      </c>
      <c r="I359">
        <v>72996</v>
      </c>
      <c r="J359">
        <v>5</v>
      </c>
      <c r="K359" t="s">
        <v>28</v>
      </c>
      <c r="L359">
        <v>18409.669999999998</v>
      </c>
    </row>
    <row r="360" spans="1:12" x14ac:dyDescent="0.3">
      <c r="A360" t="s">
        <v>658</v>
      </c>
      <c r="B360" t="s">
        <v>659</v>
      </c>
      <c r="C360" t="s">
        <v>66</v>
      </c>
      <c r="D360" t="s">
        <v>23</v>
      </c>
      <c r="E360" t="s">
        <v>24</v>
      </c>
      <c r="F360" t="s">
        <v>25</v>
      </c>
      <c r="G360" t="s">
        <v>40</v>
      </c>
      <c r="H360" t="s">
        <v>41</v>
      </c>
      <c r="I360">
        <v>46929</v>
      </c>
      <c r="J360">
        <v>7</v>
      </c>
      <c r="K360" t="s">
        <v>49</v>
      </c>
      <c r="L360">
        <v>8622.49</v>
      </c>
    </row>
    <row r="361" spans="1:12" x14ac:dyDescent="0.3">
      <c r="A361" t="s">
        <v>660</v>
      </c>
      <c r="B361" t="s">
        <v>661</v>
      </c>
      <c r="C361" t="s">
        <v>91</v>
      </c>
      <c r="D361" t="s">
        <v>38</v>
      </c>
      <c r="E361" t="s">
        <v>67</v>
      </c>
      <c r="F361" t="s">
        <v>25</v>
      </c>
      <c r="G361" t="s">
        <v>40</v>
      </c>
      <c r="H361" t="s">
        <v>41</v>
      </c>
      <c r="I361">
        <v>3321</v>
      </c>
      <c r="J361">
        <v>6</v>
      </c>
      <c r="K361" t="s">
        <v>34</v>
      </c>
      <c r="L361">
        <v>859.61</v>
      </c>
    </row>
    <row r="362" spans="1:12" x14ac:dyDescent="0.3">
      <c r="A362" t="s">
        <v>662</v>
      </c>
      <c r="B362" t="s">
        <v>194</v>
      </c>
      <c r="C362" t="s">
        <v>31</v>
      </c>
      <c r="D362" t="s">
        <v>32</v>
      </c>
      <c r="E362" t="s">
        <v>33</v>
      </c>
      <c r="F362" t="s">
        <v>17</v>
      </c>
      <c r="G362" t="s">
        <v>104</v>
      </c>
      <c r="H362" t="s">
        <v>105</v>
      </c>
      <c r="I362">
        <v>55155</v>
      </c>
      <c r="J362">
        <v>10</v>
      </c>
      <c r="K362" t="s">
        <v>20</v>
      </c>
      <c r="L362">
        <v>6594.01</v>
      </c>
    </row>
    <row r="363" spans="1:12" x14ac:dyDescent="0.3">
      <c r="A363" t="s">
        <v>663</v>
      </c>
      <c r="B363" t="s">
        <v>664</v>
      </c>
      <c r="C363" t="s">
        <v>63</v>
      </c>
      <c r="D363" t="s">
        <v>32</v>
      </c>
      <c r="E363" t="s">
        <v>116</v>
      </c>
      <c r="F363" t="s">
        <v>17</v>
      </c>
      <c r="G363" t="s">
        <v>76</v>
      </c>
      <c r="H363" t="s">
        <v>77</v>
      </c>
      <c r="I363">
        <v>59660</v>
      </c>
      <c r="J363">
        <v>6</v>
      </c>
      <c r="K363" t="s">
        <v>20</v>
      </c>
      <c r="L363">
        <v>5344.98</v>
      </c>
    </row>
    <row r="364" spans="1:12" x14ac:dyDescent="0.3">
      <c r="A364" t="s">
        <v>665</v>
      </c>
      <c r="B364" t="s">
        <v>125</v>
      </c>
      <c r="C364" t="s">
        <v>121</v>
      </c>
      <c r="D364" t="s">
        <v>15</v>
      </c>
      <c r="E364" t="s">
        <v>73</v>
      </c>
      <c r="F364" t="s">
        <v>25</v>
      </c>
      <c r="G364" t="s">
        <v>57</v>
      </c>
      <c r="H364" t="s">
        <v>58</v>
      </c>
      <c r="I364">
        <v>33372</v>
      </c>
      <c r="J364">
        <v>6</v>
      </c>
      <c r="K364" t="s">
        <v>20</v>
      </c>
      <c r="L364">
        <v>6026.3</v>
      </c>
    </row>
    <row r="365" spans="1:12" x14ac:dyDescent="0.3">
      <c r="A365" t="s">
        <v>666</v>
      </c>
      <c r="B365" t="s">
        <v>332</v>
      </c>
      <c r="C365" t="s">
        <v>121</v>
      </c>
      <c r="D365" t="s">
        <v>38</v>
      </c>
      <c r="E365" t="s">
        <v>39</v>
      </c>
      <c r="F365" t="s">
        <v>17</v>
      </c>
      <c r="G365" t="s">
        <v>18</v>
      </c>
      <c r="H365" t="s">
        <v>19</v>
      </c>
      <c r="I365">
        <v>39591</v>
      </c>
      <c r="J365">
        <v>6</v>
      </c>
      <c r="K365" t="s">
        <v>28</v>
      </c>
      <c r="L365">
        <v>4320.99</v>
      </c>
    </row>
    <row r="366" spans="1:12" x14ac:dyDescent="0.3">
      <c r="A366" t="s">
        <v>667</v>
      </c>
      <c r="B366" t="s">
        <v>236</v>
      </c>
      <c r="C366" t="s">
        <v>121</v>
      </c>
      <c r="D366" t="s">
        <v>32</v>
      </c>
      <c r="E366" t="s">
        <v>33</v>
      </c>
      <c r="F366" t="s">
        <v>46</v>
      </c>
      <c r="G366" t="s">
        <v>94</v>
      </c>
      <c r="H366" t="s">
        <v>95</v>
      </c>
      <c r="I366">
        <v>22399</v>
      </c>
      <c r="J366">
        <v>7</v>
      </c>
      <c r="K366" t="s">
        <v>34</v>
      </c>
      <c r="L366">
        <v>2933.87</v>
      </c>
    </row>
    <row r="367" spans="1:12" x14ac:dyDescent="0.3">
      <c r="A367" t="s">
        <v>668</v>
      </c>
      <c r="B367" t="s">
        <v>623</v>
      </c>
      <c r="C367" t="s">
        <v>91</v>
      </c>
      <c r="D367" t="s">
        <v>23</v>
      </c>
      <c r="E367" t="s">
        <v>82</v>
      </c>
      <c r="F367" t="s">
        <v>46</v>
      </c>
      <c r="G367" t="s">
        <v>87</v>
      </c>
      <c r="H367" t="s">
        <v>88</v>
      </c>
      <c r="I367">
        <v>31557</v>
      </c>
      <c r="J367">
        <v>2</v>
      </c>
      <c r="K367" t="s">
        <v>20</v>
      </c>
      <c r="L367">
        <v>2953.08</v>
      </c>
    </row>
    <row r="368" spans="1:12" x14ac:dyDescent="0.3">
      <c r="A368" t="s">
        <v>669</v>
      </c>
      <c r="B368" t="s">
        <v>636</v>
      </c>
      <c r="C368" t="s">
        <v>31</v>
      </c>
      <c r="D368" t="s">
        <v>15</v>
      </c>
      <c r="E368" t="s">
        <v>154</v>
      </c>
      <c r="F368" t="s">
        <v>46</v>
      </c>
      <c r="G368" t="s">
        <v>94</v>
      </c>
      <c r="H368" t="s">
        <v>95</v>
      </c>
      <c r="I368">
        <v>79788</v>
      </c>
      <c r="J368">
        <v>4</v>
      </c>
      <c r="K368" t="s">
        <v>49</v>
      </c>
      <c r="L368">
        <v>16188.14</v>
      </c>
    </row>
    <row r="369" spans="1:12" x14ac:dyDescent="0.3">
      <c r="A369" t="s">
        <v>670</v>
      </c>
      <c r="B369" t="s">
        <v>577</v>
      </c>
      <c r="C369" t="s">
        <v>14</v>
      </c>
      <c r="D369" t="s">
        <v>23</v>
      </c>
      <c r="E369" t="s">
        <v>129</v>
      </c>
      <c r="F369" t="s">
        <v>25</v>
      </c>
      <c r="G369" t="s">
        <v>40</v>
      </c>
      <c r="H369" t="s">
        <v>41</v>
      </c>
      <c r="I369">
        <v>66637</v>
      </c>
      <c r="J369">
        <v>6</v>
      </c>
      <c r="K369" t="s">
        <v>53</v>
      </c>
      <c r="L369">
        <v>13999.62</v>
      </c>
    </row>
    <row r="370" spans="1:12" x14ac:dyDescent="0.3">
      <c r="A370" t="s">
        <v>671</v>
      </c>
      <c r="B370" t="s">
        <v>351</v>
      </c>
      <c r="C370" t="s">
        <v>121</v>
      </c>
      <c r="D370" t="s">
        <v>15</v>
      </c>
      <c r="E370" t="s">
        <v>73</v>
      </c>
      <c r="F370" t="s">
        <v>17</v>
      </c>
      <c r="G370" t="s">
        <v>104</v>
      </c>
      <c r="H370" t="s">
        <v>105</v>
      </c>
      <c r="I370">
        <v>53171</v>
      </c>
      <c r="J370">
        <v>3</v>
      </c>
      <c r="K370" t="s">
        <v>28</v>
      </c>
      <c r="L370">
        <v>7195.83</v>
      </c>
    </row>
    <row r="371" spans="1:12" x14ac:dyDescent="0.3">
      <c r="A371" t="s">
        <v>672</v>
      </c>
      <c r="B371" t="s">
        <v>673</v>
      </c>
      <c r="C371" t="s">
        <v>37</v>
      </c>
      <c r="D371" t="s">
        <v>23</v>
      </c>
      <c r="E371" t="s">
        <v>82</v>
      </c>
      <c r="F371" t="s">
        <v>17</v>
      </c>
      <c r="G371" t="s">
        <v>104</v>
      </c>
      <c r="H371" t="s">
        <v>105</v>
      </c>
      <c r="I371">
        <v>57393</v>
      </c>
      <c r="J371">
        <v>5</v>
      </c>
      <c r="K371" t="s">
        <v>20</v>
      </c>
      <c r="L371">
        <v>12072.71</v>
      </c>
    </row>
    <row r="372" spans="1:12" x14ac:dyDescent="0.3">
      <c r="A372" t="s">
        <v>674</v>
      </c>
      <c r="B372" t="s">
        <v>240</v>
      </c>
      <c r="C372" t="s">
        <v>121</v>
      </c>
      <c r="D372" t="s">
        <v>32</v>
      </c>
      <c r="E372" t="s">
        <v>45</v>
      </c>
      <c r="F372" t="s">
        <v>17</v>
      </c>
      <c r="G372" t="s">
        <v>104</v>
      </c>
      <c r="H372" t="s">
        <v>105</v>
      </c>
      <c r="I372">
        <v>22204</v>
      </c>
      <c r="J372">
        <v>7</v>
      </c>
      <c r="K372" t="s">
        <v>28</v>
      </c>
      <c r="L372">
        <v>2608.1</v>
      </c>
    </row>
    <row r="373" spans="1:12" x14ac:dyDescent="0.3">
      <c r="A373" t="s">
        <v>675</v>
      </c>
      <c r="B373" t="s">
        <v>36</v>
      </c>
      <c r="C373" t="s">
        <v>63</v>
      </c>
      <c r="D373" t="s">
        <v>23</v>
      </c>
      <c r="E373" t="s">
        <v>129</v>
      </c>
      <c r="F373" t="s">
        <v>46</v>
      </c>
      <c r="G373" t="s">
        <v>47</v>
      </c>
      <c r="H373" t="s">
        <v>48</v>
      </c>
      <c r="I373">
        <v>62026</v>
      </c>
      <c r="J373">
        <v>8</v>
      </c>
      <c r="K373" t="s">
        <v>49</v>
      </c>
      <c r="L373">
        <v>7009.5</v>
      </c>
    </row>
    <row r="374" spans="1:12" x14ac:dyDescent="0.3">
      <c r="A374" t="s">
        <v>676</v>
      </c>
      <c r="B374" t="s">
        <v>677</v>
      </c>
      <c r="C374" t="s">
        <v>91</v>
      </c>
      <c r="D374" t="s">
        <v>32</v>
      </c>
      <c r="E374" t="s">
        <v>45</v>
      </c>
      <c r="F374" t="s">
        <v>17</v>
      </c>
      <c r="G374" t="s">
        <v>104</v>
      </c>
      <c r="H374" t="s">
        <v>105</v>
      </c>
      <c r="I374">
        <v>45240</v>
      </c>
      <c r="J374">
        <v>5</v>
      </c>
      <c r="K374" t="s">
        <v>34</v>
      </c>
      <c r="L374">
        <v>10432.67</v>
      </c>
    </row>
    <row r="375" spans="1:12" x14ac:dyDescent="0.3">
      <c r="A375" t="s">
        <v>678</v>
      </c>
      <c r="B375" t="s">
        <v>266</v>
      </c>
      <c r="C375" t="s">
        <v>72</v>
      </c>
      <c r="D375" t="s">
        <v>23</v>
      </c>
      <c r="E375" t="s">
        <v>24</v>
      </c>
      <c r="F375" t="s">
        <v>46</v>
      </c>
      <c r="G375" t="s">
        <v>94</v>
      </c>
      <c r="H375" t="s">
        <v>95</v>
      </c>
      <c r="I375">
        <v>37746</v>
      </c>
      <c r="J375">
        <v>6</v>
      </c>
      <c r="K375" t="s">
        <v>34</v>
      </c>
      <c r="L375">
        <v>5625.54</v>
      </c>
    </row>
    <row r="376" spans="1:12" x14ac:dyDescent="0.3">
      <c r="A376" t="s">
        <v>679</v>
      </c>
      <c r="B376" t="s">
        <v>680</v>
      </c>
      <c r="C376" t="s">
        <v>14</v>
      </c>
      <c r="D376" t="s">
        <v>38</v>
      </c>
      <c r="E376" t="s">
        <v>52</v>
      </c>
      <c r="F376" t="s">
        <v>17</v>
      </c>
      <c r="G376" t="s">
        <v>76</v>
      </c>
      <c r="H376" t="s">
        <v>77</v>
      </c>
      <c r="I376">
        <v>28034</v>
      </c>
      <c r="J376">
        <v>6</v>
      </c>
      <c r="K376" t="s">
        <v>34</v>
      </c>
      <c r="L376">
        <v>6024.38</v>
      </c>
    </row>
    <row r="377" spans="1:12" x14ac:dyDescent="0.3">
      <c r="A377" t="s">
        <v>681</v>
      </c>
      <c r="B377" t="s">
        <v>345</v>
      </c>
      <c r="C377" t="s">
        <v>44</v>
      </c>
      <c r="D377" t="s">
        <v>23</v>
      </c>
      <c r="E377" t="s">
        <v>24</v>
      </c>
      <c r="F377" t="s">
        <v>46</v>
      </c>
      <c r="G377" t="s">
        <v>94</v>
      </c>
      <c r="H377" t="s">
        <v>95</v>
      </c>
      <c r="I377">
        <v>15130</v>
      </c>
      <c r="J377">
        <v>4</v>
      </c>
      <c r="K377" t="s">
        <v>28</v>
      </c>
      <c r="L377">
        <v>1000.5</v>
      </c>
    </row>
    <row r="378" spans="1:12" x14ac:dyDescent="0.3">
      <c r="A378" t="s">
        <v>682</v>
      </c>
      <c r="B378" t="s">
        <v>561</v>
      </c>
      <c r="C378" t="s">
        <v>63</v>
      </c>
      <c r="D378" t="s">
        <v>15</v>
      </c>
      <c r="E378" t="s">
        <v>154</v>
      </c>
      <c r="F378" t="s">
        <v>17</v>
      </c>
      <c r="G378" t="s">
        <v>76</v>
      </c>
      <c r="H378" t="s">
        <v>77</v>
      </c>
      <c r="I378">
        <v>51543</v>
      </c>
      <c r="J378">
        <v>2</v>
      </c>
      <c r="K378" t="s">
        <v>20</v>
      </c>
      <c r="L378">
        <v>4343.5</v>
      </c>
    </row>
    <row r="379" spans="1:12" x14ac:dyDescent="0.3">
      <c r="A379" t="s">
        <v>683</v>
      </c>
      <c r="B379" t="s">
        <v>149</v>
      </c>
      <c r="C379" t="s">
        <v>121</v>
      </c>
      <c r="D379" t="s">
        <v>23</v>
      </c>
      <c r="E379" t="s">
        <v>129</v>
      </c>
      <c r="F379" t="s">
        <v>46</v>
      </c>
      <c r="G379" t="s">
        <v>47</v>
      </c>
      <c r="H379" t="s">
        <v>48</v>
      </c>
      <c r="I379">
        <v>30558</v>
      </c>
      <c r="J379">
        <v>7</v>
      </c>
      <c r="K379" t="s">
        <v>53</v>
      </c>
      <c r="L379">
        <v>2567.4299999999998</v>
      </c>
    </row>
    <row r="380" spans="1:12" x14ac:dyDescent="0.3">
      <c r="A380" t="s">
        <v>684</v>
      </c>
      <c r="B380" t="s">
        <v>685</v>
      </c>
      <c r="C380" t="s">
        <v>121</v>
      </c>
      <c r="D380" t="s">
        <v>38</v>
      </c>
      <c r="E380" t="s">
        <v>39</v>
      </c>
      <c r="F380" t="s">
        <v>46</v>
      </c>
      <c r="G380" t="s">
        <v>94</v>
      </c>
      <c r="H380" t="s">
        <v>95</v>
      </c>
      <c r="I380">
        <v>76297</v>
      </c>
      <c r="J380">
        <v>5</v>
      </c>
      <c r="K380" t="s">
        <v>34</v>
      </c>
      <c r="L380">
        <v>19673.2</v>
      </c>
    </row>
    <row r="381" spans="1:12" x14ac:dyDescent="0.3">
      <c r="A381" t="s">
        <v>686</v>
      </c>
      <c r="B381" t="s">
        <v>687</v>
      </c>
      <c r="C381" t="s">
        <v>91</v>
      </c>
      <c r="D381" t="s">
        <v>23</v>
      </c>
      <c r="E381" t="s">
        <v>24</v>
      </c>
      <c r="F381" t="s">
        <v>17</v>
      </c>
      <c r="G381" t="s">
        <v>18</v>
      </c>
      <c r="H381" t="s">
        <v>19</v>
      </c>
      <c r="I381">
        <v>16291</v>
      </c>
      <c r="J381">
        <v>9</v>
      </c>
      <c r="K381" t="s">
        <v>49</v>
      </c>
      <c r="L381">
        <v>3811.35</v>
      </c>
    </row>
    <row r="382" spans="1:12" x14ac:dyDescent="0.3">
      <c r="A382" t="s">
        <v>688</v>
      </c>
      <c r="B382" t="s">
        <v>379</v>
      </c>
      <c r="C382" t="s">
        <v>66</v>
      </c>
      <c r="D382" t="s">
        <v>38</v>
      </c>
      <c r="E382" t="s">
        <v>52</v>
      </c>
      <c r="F382" t="s">
        <v>17</v>
      </c>
      <c r="G382" t="s">
        <v>104</v>
      </c>
      <c r="H382" t="s">
        <v>105</v>
      </c>
      <c r="I382">
        <v>10603</v>
      </c>
      <c r="J382">
        <v>10</v>
      </c>
      <c r="K382" t="s">
        <v>28</v>
      </c>
      <c r="L382">
        <v>2626.22</v>
      </c>
    </row>
    <row r="383" spans="1:12" x14ac:dyDescent="0.3">
      <c r="A383" t="s">
        <v>689</v>
      </c>
      <c r="B383" t="s">
        <v>690</v>
      </c>
      <c r="C383" t="s">
        <v>37</v>
      </c>
      <c r="D383" t="s">
        <v>32</v>
      </c>
      <c r="E383" t="s">
        <v>33</v>
      </c>
      <c r="F383" t="s">
        <v>46</v>
      </c>
      <c r="G383" t="s">
        <v>47</v>
      </c>
      <c r="H383" t="s">
        <v>48</v>
      </c>
      <c r="I383">
        <v>74583</v>
      </c>
      <c r="J383">
        <v>9</v>
      </c>
      <c r="K383" t="s">
        <v>20</v>
      </c>
      <c r="L383">
        <v>14237.02</v>
      </c>
    </row>
    <row r="384" spans="1:12" x14ac:dyDescent="0.3">
      <c r="A384" t="s">
        <v>691</v>
      </c>
      <c r="B384" t="s">
        <v>634</v>
      </c>
      <c r="C384" t="s">
        <v>72</v>
      </c>
      <c r="D384" t="s">
        <v>32</v>
      </c>
      <c r="E384" t="s">
        <v>116</v>
      </c>
      <c r="F384" t="s">
        <v>46</v>
      </c>
      <c r="G384" t="s">
        <v>87</v>
      </c>
      <c r="H384" t="s">
        <v>88</v>
      </c>
      <c r="I384">
        <v>28236</v>
      </c>
      <c r="J384">
        <v>3</v>
      </c>
      <c r="K384" t="s">
        <v>49</v>
      </c>
      <c r="L384">
        <v>3285.02</v>
      </c>
    </row>
    <row r="385" spans="1:12" x14ac:dyDescent="0.3">
      <c r="A385" t="s">
        <v>692</v>
      </c>
      <c r="B385" t="s">
        <v>164</v>
      </c>
      <c r="C385" t="s">
        <v>44</v>
      </c>
      <c r="D385" t="s">
        <v>32</v>
      </c>
      <c r="E385" t="s">
        <v>116</v>
      </c>
      <c r="F385" t="s">
        <v>46</v>
      </c>
      <c r="G385" t="s">
        <v>87</v>
      </c>
      <c r="H385" t="s">
        <v>88</v>
      </c>
      <c r="I385">
        <v>39824</v>
      </c>
      <c r="J385">
        <v>2</v>
      </c>
      <c r="K385" t="s">
        <v>53</v>
      </c>
      <c r="L385">
        <v>8813.14</v>
      </c>
    </row>
    <row r="386" spans="1:12" x14ac:dyDescent="0.3">
      <c r="A386" t="s">
        <v>693</v>
      </c>
      <c r="B386" t="s">
        <v>125</v>
      </c>
      <c r="C386" t="s">
        <v>66</v>
      </c>
      <c r="D386" t="s">
        <v>15</v>
      </c>
      <c r="E386" t="s">
        <v>16</v>
      </c>
      <c r="F386" t="s">
        <v>46</v>
      </c>
      <c r="G386" t="s">
        <v>47</v>
      </c>
      <c r="H386" t="s">
        <v>48</v>
      </c>
      <c r="I386">
        <v>72197</v>
      </c>
      <c r="J386">
        <v>4</v>
      </c>
      <c r="K386" t="s">
        <v>53</v>
      </c>
      <c r="L386">
        <v>11830.43</v>
      </c>
    </row>
    <row r="387" spans="1:12" x14ac:dyDescent="0.3">
      <c r="A387" t="s">
        <v>694</v>
      </c>
      <c r="B387" t="s">
        <v>180</v>
      </c>
      <c r="C387" t="s">
        <v>31</v>
      </c>
      <c r="D387" t="s">
        <v>23</v>
      </c>
      <c r="E387" t="s">
        <v>24</v>
      </c>
      <c r="F387" t="s">
        <v>25</v>
      </c>
      <c r="G387" t="s">
        <v>57</v>
      </c>
      <c r="H387" t="s">
        <v>58</v>
      </c>
      <c r="I387">
        <v>74371</v>
      </c>
      <c r="J387">
        <v>2</v>
      </c>
      <c r="K387" t="s">
        <v>28</v>
      </c>
      <c r="L387">
        <v>16793.84</v>
      </c>
    </row>
    <row r="388" spans="1:12" x14ac:dyDescent="0.3">
      <c r="A388" t="s">
        <v>695</v>
      </c>
      <c r="B388" t="s">
        <v>215</v>
      </c>
      <c r="C388" t="s">
        <v>14</v>
      </c>
      <c r="D388" t="s">
        <v>15</v>
      </c>
      <c r="E388" t="s">
        <v>73</v>
      </c>
      <c r="F388" t="s">
        <v>25</v>
      </c>
      <c r="G388" t="s">
        <v>57</v>
      </c>
      <c r="H388" t="s">
        <v>58</v>
      </c>
      <c r="I388">
        <v>64570</v>
      </c>
      <c r="J388">
        <v>6</v>
      </c>
      <c r="K388" t="s">
        <v>53</v>
      </c>
      <c r="L388">
        <v>14706.27</v>
      </c>
    </row>
    <row r="389" spans="1:12" x14ac:dyDescent="0.3">
      <c r="A389" t="s">
        <v>696</v>
      </c>
      <c r="B389" t="s">
        <v>687</v>
      </c>
      <c r="C389" t="s">
        <v>121</v>
      </c>
      <c r="D389" t="s">
        <v>23</v>
      </c>
      <c r="E389" t="s">
        <v>129</v>
      </c>
      <c r="F389" t="s">
        <v>17</v>
      </c>
      <c r="G389" t="s">
        <v>104</v>
      </c>
      <c r="H389" t="s">
        <v>105</v>
      </c>
      <c r="I389">
        <v>34656</v>
      </c>
      <c r="J389">
        <v>6</v>
      </c>
      <c r="K389" t="s">
        <v>20</v>
      </c>
      <c r="L389">
        <v>5129.6899999999996</v>
      </c>
    </row>
    <row r="390" spans="1:12" x14ac:dyDescent="0.3">
      <c r="A390" t="s">
        <v>697</v>
      </c>
      <c r="B390" t="s">
        <v>698</v>
      </c>
      <c r="C390" t="s">
        <v>14</v>
      </c>
      <c r="D390" t="s">
        <v>32</v>
      </c>
      <c r="E390" t="s">
        <v>116</v>
      </c>
      <c r="F390" t="s">
        <v>46</v>
      </c>
      <c r="G390" t="s">
        <v>87</v>
      </c>
      <c r="H390" t="s">
        <v>88</v>
      </c>
      <c r="I390">
        <v>9264</v>
      </c>
      <c r="J390">
        <v>8</v>
      </c>
      <c r="K390" t="s">
        <v>34</v>
      </c>
      <c r="L390">
        <v>1391.63</v>
      </c>
    </row>
    <row r="391" spans="1:12" x14ac:dyDescent="0.3">
      <c r="A391" t="s">
        <v>699</v>
      </c>
      <c r="B391" t="s">
        <v>433</v>
      </c>
      <c r="C391" t="s">
        <v>121</v>
      </c>
      <c r="D391" t="s">
        <v>32</v>
      </c>
      <c r="E391" t="s">
        <v>33</v>
      </c>
      <c r="F391" t="s">
        <v>17</v>
      </c>
      <c r="G391" t="s">
        <v>18</v>
      </c>
      <c r="H391" t="s">
        <v>19</v>
      </c>
      <c r="I391">
        <v>28327</v>
      </c>
      <c r="J391">
        <v>10</v>
      </c>
      <c r="K391" t="s">
        <v>34</v>
      </c>
      <c r="L391">
        <v>3218.82</v>
      </c>
    </row>
    <row r="392" spans="1:12" x14ac:dyDescent="0.3">
      <c r="A392" t="s">
        <v>700</v>
      </c>
      <c r="B392" t="s">
        <v>532</v>
      </c>
      <c r="C392" t="s">
        <v>56</v>
      </c>
      <c r="D392" t="s">
        <v>38</v>
      </c>
      <c r="E392" t="s">
        <v>39</v>
      </c>
      <c r="F392" t="s">
        <v>25</v>
      </c>
      <c r="G392" t="s">
        <v>57</v>
      </c>
      <c r="H392" t="s">
        <v>58</v>
      </c>
      <c r="I392">
        <v>38814</v>
      </c>
      <c r="J392">
        <v>5</v>
      </c>
      <c r="K392" t="s">
        <v>34</v>
      </c>
      <c r="L392">
        <v>4669.1899999999996</v>
      </c>
    </row>
    <row r="393" spans="1:12" x14ac:dyDescent="0.3">
      <c r="A393" t="s">
        <v>701</v>
      </c>
      <c r="B393" t="s">
        <v>702</v>
      </c>
      <c r="C393" t="s">
        <v>121</v>
      </c>
      <c r="D393" t="s">
        <v>38</v>
      </c>
      <c r="E393" t="s">
        <v>39</v>
      </c>
      <c r="F393" t="s">
        <v>46</v>
      </c>
      <c r="G393" t="s">
        <v>94</v>
      </c>
      <c r="H393" t="s">
        <v>95</v>
      </c>
      <c r="I393">
        <v>19351</v>
      </c>
      <c r="J393">
        <v>3</v>
      </c>
      <c r="K393" t="s">
        <v>49</v>
      </c>
      <c r="L393">
        <v>3357.56</v>
      </c>
    </row>
    <row r="394" spans="1:12" x14ac:dyDescent="0.3">
      <c r="A394" t="s">
        <v>703</v>
      </c>
      <c r="B394" t="s">
        <v>698</v>
      </c>
      <c r="C394" t="s">
        <v>121</v>
      </c>
      <c r="D394" t="s">
        <v>15</v>
      </c>
      <c r="E394" t="s">
        <v>73</v>
      </c>
      <c r="F394" t="s">
        <v>46</v>
      </c>
      <c r="G394" t="s">
        <v>94</v>
      </c>
      <c r="H394" t="s">
        <v>95</v>
      </c>
      <c r="I394">
        <v>41814</v>
      </c>
      <c r="J394">
        <v>1</v>
      </c>
      <c r="K394" t="s">
        <v>28</v>
      </c>
      <c r="L394">
        <v>5508.81</v>
      </c>
    </row>
    <row r="395" spans="1:12" x14ac:dyDescent="0.3">
      <c r="A395" t="s">
        <v>704</v>
      </c>
      <c r="B395" t="s">
        <v>705</v>
      </c>
      <c r="C395" t="s">
        <v>66</v>
      </c>
      <c r="D395" t="s">
        <v>38</v>
      </c>
      <c r="E395" t="s">
        <v>52</v>
      </c>
      <c r="F395" t="s">
        <v>17</v>
      </c>
      <c r="G395" t="s">
        <v>104</v>
      </c>
      <c r="H395" t="s">
        <v>105</v>
      </c>
      <c r="I395">
        <v>59975</v>
      </c>
      <c r="J395">
        <v>9</v>
      </c>
      <c r="K395" t="s">
        <v>34</v>
      </c>
      <c r="L395">
        <v>8841.56</v>
      </c>
    </row>
    <row r="396" spans="1:12" x14ac:dyDescent="0.3">
      <c r="A396" t="s">
        <v>706</v>
      </c>
      <c r="B396" t="s">
        <v>707</v>
      </c>
      <c r="C396" t="s">
        <v>91</v>
      </c>
      <c r="D396" t="s">
        <v>38</v>
      </c>
      <c r="E396" t="s">
        <v>52</v>
      </c>
      <c r="F396" t="s">
        <v>25</v>
      </c>
      <c r="G396" t="s">
        <v>26</v>
      </c>
      <c r="H396" t="s">
        <v>27</v>
      </c>
      <c r="I396">
        <v>49220</v>
      </c>
      <c r="J396">
        <v>2</v>
      </c>
      <c r="K396" t="s">
        <v>34</v>
      </c>
      <c r="L396">
        <v>3206.05</v>
      </c>
    </row>
    <row r="397" spans="1:12" x14ac:dyDescent="0.3">
      <c r="A397" t="s">
        <v>708</v>
      </c>
      <c r="B397" t="s">
        <v>410</v>
      </c>
      <c r="C397" t="s">
        <v>56</v>
      </c>
      <c r="D397" t="s">
        <v>15</v>
      </c>
      <c r="E397" t="s">
        <v>16</v>
      </c>
      <c r="F397" t="s">
        <v>46</v>
      </c>
      <c r="G397" t="s">
        <v>94</v>
      </c>
      <c r="H397" t="s">
        <v>95</v>
      </c>
      <c r="I397">
        <v>18745</v>
      </c>
      <c r="J397">
        <v>8</v>
      </c>
      <c r="K397" t="s">
        <v>53</v>
      </c>
      <c r="L397">
        <v>1527.17</v>
      </c>
    </row>
    <row r="398" spans="1:12" x14ac:dyDescent="0.3">
      <c r="A398" t="s">
        <v>709</v>
      </c>
      <c r="B398" t="s">
        <v>413</v>
      </c>
      <c r="C398" t="s">
        <v>44</v>
      </c>
      <c r="D398" t="s">
        <v>38</v>
      </c>
      <c r="E398" t="s">
        <v>52</v>
      </c>
      <c r="F398" t="s">
        <v>25</v>
      </c>
      <c r="G398" t="s">
        <v>57</v>
      </c>
      <c r="H398" t="s">
        <v>58</v>
      </c>
      <c r="I398">
        <v>65434</v>
      </c>
      <c r="J398">
        <v>2</v>
      </c>
      <c r="K398" t="s">
        <v>49</v>
      </c>
      <c r="L398">
        <v>7515.27</v>
      </c>
    </row>
    <row r="399" spans="1:12" x14ac:dyDescent="0.3">
      <c r="A399" t="s">
        <v>710</v>
      </c>
      <c r="B399" t="s">
        <v>443</v>
      </c>
      <c r="C399" t="s">
        <v>66</v>
      </c>
      <c r="D399" t="s">
        <v>38</v>
      </c>
      <c r="E399" t="s">
        <v>39</v>
      </c>
      <c r="F399" t="s">
        <v>25</v>
      </c>
      <c r="G399" t="s">
        <v>57</v>
      </c>
      <c r="H399" t="s">
        <v>58</v>
      </c>
      <c r="I399">
        <v>13344</v>
      </c>
      <c r="J399">
        <v>2</v>
      </c>
      <c r="K399" t="s">
        <v>49</v>
      </c>
      <c r="L399">
        <v>2367.91</v>
      </c>
    </row>
    <row r="400" spans="1:12" x14ac:dyDescent="0.3">
      <c r="A400" t="s">
        <v>711</v>
      </c>
      <c r="B400" t="s">
        <v>712</v>
      </c>
      <c r="C400" t="s">
        <v>31</v>
      </c>
      <c r="D400" t="s">
        <v>15</v>
      </c>
      <c r="E400" t="s">
        <v>73</v>
      </c>
      <c r="F400" t="s">
        <v>25</v>
      </c>
      <c r="G400" t="s">
        <v>26</v>
      </c>
      <c r="H400" t="s">
        <v>27</v>
      </c>
      <c r="I400">
        <v>69351</v>
      </c>
      <c r="J400">
        <v>8</v>
      </c>
      <c r="K400" t="s">
        <v>20</v>
      </c>
      <c r="L400">
        <v>13525.58</v>
      </c>
    </row>
    <row r="401" spans="1:12" x14ac:dyDescent="0.3">
      <c r="A401" t="s">
        <v>713</v>
      </c>
      <c r="B401" t="s">
        <v>260</v>
      </c>
      <c r="C401" t="s">
        <v>44</v>
      </c>
      <c r="D401" t="s">
        <v>15</v>
      </c>
      <c r="E401" t="s">
        <v>16</v>
      </c>
      <c r="F401" t="s">
        <v>17</v>
      </c>
      <c r="G401" t="s">
        <v>18</v>
      </c>
      <c r="H401" t="s">
        <v>19</v>
      </c>
      <c r="I401">
        <v>11521</v>
      </c>
      <c r="J401">
        <v>8</v>
      </c>
      <c r="K401" t="s">
        <v>49</v>
      </c>
      <c r="L401">
        <v>2389.7199999999998</v>
      </c>
    </row>
    <row r="402" spans="1:12" x14ac:dyDescent="0.3">
      <c r="A402" t="s">
        <v>714</v>
      </c>
      <c r="B402" t="s">
        <v>715</v>
      </c>
      <c r="C402" t="s">
        <v>63</v>
      </c>
      <c r="D402" t="s">
        <v>23</v>
      </c>
      <c r="E402" t="s">
        <v>82</v>
      </c>
      <c r="F402" t="s">
        <v>17</v>
      </c>
      <c r="G402" t="s">
        <v>18</v>
      </c>
      <c r="H402" t="s">
        <v>19</v>
      </c>
      <c r="I402">
        <v>40002</v>
      </c>
      <c r="J402">
        <v>8</v>
      </c>
      <c r="K402" t="s">
        <v>49</v>
      </c>
      <c r="L402">
        <v>6832.02</v>
      </c>
    </row>
    <row r="403" spans="1:12" x14ac:dyDescent="0.3">
      <c r="A403" t="s">
        <v>716</v>
      </c>
      <c r="B403" t="s">
        <v>338</v>
      </c>
      <c r="C403" t="s">
        <v>37</v>
      </c>
      <c r="D403" t="s">
        <v>32</v>
      </c>
      <c r="E403" t="s">
        <v>45</v>
      </c>
      <c r="F403" t="s">
        <v>25</v>
      </c>
      <c r="G403" t="s">
        <v>57</v>
      </c>
      <c r="H403" t="s">
        <v>58</v>
      </c>
      <c r="I403">
        <v>59462</v>
      </c>
      <c r="J403">
        <v>10</v>
      </c>
      <c r="K403" t="s">
        <v>53</v>
      </c>
      <c r="L403">
        <v>12014.26</v>
      </c>
    </row>
    <row r="404" spans="1:12" x14ac:dyDescent="0.3">
      <c r="A404" t="s">
        <v>717</v>
      </c>
      <c r="B404" t="s">
        <v>156</v>
      </c>
      <c r="C404" t="s">
        <v>31</v>
      </c>
      <c r="D404" t="s">
        <v>38</v>
      </c>
      <c r="E404" t="s">
        <v>67</v>
      </c>
      <c r="F404" t="s">
        <v>17</v>
      </c>
      <c r="G404" t="s">
        <v>104</v>
      </c>
      <c r="H404" t="s">
        <v>105</v>
      </c>
      <c r="I404">
        <v>42773</v>
      </c>
      <c r="J404">
        <v>8</v>
      </c>
      <c r="K404" t="s">
        <v>49</v>
      </c>
      <c r="L404">
        <v>5016.18</v>
      </c>
    </row>
    <row r="405" spans="1:12" x14ac:dyDescent="0.3">
      <c r="A405" t="s">
        <v>718</v>
      </c>
      <c r="B405" t="s">
        <v>719</v>
      </c>
      <c r="C405" t="s">
        <v>14</v>
      </c>
      <c r="D405" t="s">
        <v>32</v>
      </c>
      <c r="E405" t="s">
        <v>45</v>
      </c>
      <c r="F405" t="s">
        <v>17</v>
      </c>
      <c r="G405" t="s">
        <v>104</v>
      </c>
      <c r="H405" t="s">
        <v>105</v>
      </c>
      <c r="I405">
        <v>48775</v>
      </c>
      <c r="J405">
        <v>7</v>
      </c>
      <c r="K405" t="s">
        <v>20</v>
      </c>
      <c r="L405">
        <v>4514.28</v>
      </c>
    </row>
    <row r="406" spans="1:12" x14ac:dyDescent="0.3">
      <c r="A406" t="s">
        <v>720</v>
      </c>
      <c r="B406" t="s">
        <v>721</v>
      </c>
      <c r="C406" t="s">
        <v>56</v>
      </c>
      <c r="D406" t="s">
        <v>32</v>
      </c>
      <c r="E406" t="s">
        <v>45</v>
      </c>
      <c r="F406" t="s">
        <v>17</v>
      </c>
      <c r="G406" t="s">
        <v>18</v>
      </c>
      <c r="H406" t="s">
        <v>19</v>
      </c>
      <c r="I406">
        <v>892</v>
      </c>
      <c r="J406">
        <v>9</v>
      </c>
      <c r="K406" t="s">
        <v>53</v>
      </c>
      <c r="L406">
        <v>234.48</v>
      </c>
    </row>
    <row r="407" spans="1:12" x14ac:dyDescent="0.3">
      <c r="A407" t="s">
        <v>722</v>
      </c>
      <c r="B407" t="s">
        <v>128</v>
      </c>
      <c r="C407" t="s">
        <v>37</v>
      </c>
      <c r="D407" t="s">
        <v>15</v>
      </c>
      <c r="E407" t="s">
        <v>154</v>
      </c>
      <c r="F407" t="s">
        <v>17</v>
      </c>
      <c r="G407" t="s">
        <v>76</v>
      </c>
      <c r="H407" t="s">
        <v>77</v>
      </c>
      <c r="I407">
        <v>76060</v>
      </c>
      <c r="J407">
        <v>8</v>
      </c>
      <c r="K407" t="s">
        <v>34</v>
      </c>
      <c r="L407">
        <v>10760.94</v>
      </c>
    </row>
    <row r="408" spans="1:12" x14ac:dyDescent="0.3">
      <c r="A408" t="s">
        <v>723</v>
      </c>
      <c r="B408" t="s">
        <v>79</v>
      </c>
      <c r="C408" t="s">
        <v>56</v>
      </c>
      <c r="D408" t="s">
        <v>15</v>
      </c>
      <c r="E408" t="s">
        <v>154</v>
      </c>
      <c r="F408" t="s">
        <v>25</v>
      </c>
      <c r="G408" t="s">
        <v>57</v>
      </c>
      <c r="H408" t="s">
        <v>58</v>
      </c>
      <c r="I408">
        <v>44375</v>
      </c>
      <c r="J408">
        <v>9</v>
      </c>
      <c r="K408" t="s">
        <v>49</v>
      </c>
      <c r="L408">
        <v>5683.2</v>
      </c>
    </row>
    <row r="409" spans="1:12" x14ac:dyDescent="0.3">
      <c r="A409" t="s">
        <v>724</v>
      </c>
      <c r="B409" t="s">
        <v>725</v>
      </c>
      <c r="C409" t="s">
        <v>44</v>
      </c>
      <c r="D409" t="s">
        <v>38</v>
      </c>
      <c r="E409" t="s">
        <v>39</v>
      </c>
      <c r="F409" t="s">
        <v>25</v>
      </c>
      <c r="G409" t="s">
        <v>26</v>
      </c>
      <c r="H409" t="s">
        <v>27</v>
      </c>
      <c r="I409">
        <v>50835</v>
      </c>
      <c r="J409">
        <v>2</v>
      </c>
      <c r="K409" t="s">
        <v>28</v>
      </c>
      <c r="L409">
        <v>11791.21</v>
      </c>
    </row>
    <row r="410" spans="1:12" x14ac:dyDescent="0.3">
      <c r="A410" t="s">
        <v>726</v>
      </c>
      <c r="B410" t="s">
        <v>158</v>
      </c>
      <c r="C410" t="s">
        <v>121</v>
      </c>
      <c r="D410" t="s">
        <v>38</v>
      </c>
      <c r="E410" t="s">
        <v>52</v>
      </c>
      <c r="F410" t="s">
        <v>17</v>
      </c>
      <c r="G410" t="s">
        <v>18</v>
      </c>
      <c r="H410" t="s">
        <v>19</v>
      </c>
      <c r="I410">
        <v>78622</v>
      </c>
      <c r="J410">
        <v>5</v>
      </c>
      <c r="K410" t="s">
        <v>28</v>
      </c>
      <c r="L410">
        <v>7478.23</v>
      </c>
    </row>
    <row r="411" spans="1:12" x14ac:dyDescent="0.3">
      <c r="A411" t="s">
        <v>727</v>
      </c>
      <c r="B411" t="s">
        <v>215</v>
      </c>
      <c r="C411" t="s">
        <v>37</v>
      </c>
      <c r="D411" t="s">
        <v>15</v>
      </c>
      <c r="E411" t="s">
        <v>73</v>
      </c>
      <c r="F411" t="s">
        <v>25</v>
      </c>
      <c r="G411" t="s">
        <v>57</v>
      </c>
      <c r="H411" t="s">
        <v>58</v>
      </c>
      <c r="I411">
        <v>73736</v>
      </c>
      <c r="J411">
        <v>2</v>
      </c>
      <c r="K411" t="s">
        <v>49</v>
      </c>
      <c r="L411">
        <v>13536.58</v>
      </c>
    </row>
    <row r="412" spans="1:12" x14ac:dyDescent="0.3">
      <c r="A412" t="s">
        <v>728</v>
      </c>
      <c r="B412" t="s">
        <v>220</v>
      </c>
      <c r="C412" t="s">
        <v>121</v>
      </c>
      <c r="D412" t="s">
        <v>23</v>
      </c>
      <c r="E412" t="s">
        <v>129</v>
      </c>
      <c r="F412" t="s">
        <v>46</v>
      </c>
      <c r="G412" t="s">
        <v>87</v>
      </c>
      <c r="H412" t="s">
        <v>88</v>
      </c>
      <c r="I412">
        <v>16800</v>
      </c>
      <c r="J412">
        <v>6</v>
      </c>
      <c r="K412" t="s">
        <v>49</v>
      </c>
      <c r="L412">
        <v>4564.6099999999997</v>
      </c>
    </row>
    <row r="413" spans="1:12" x14ac:dyDescent="0.3">
      <c r="A413" t="s">
        <v>729</v>
      </c>
      <c r="B413" t="s">
        <v>281</v>
      </c>
      <c r="C413" t="s">
        <v>37</v>
      </c>
      <c r="D413" t="s">
        <v>15</v>
      </c>
      <c r="E413" t="s">
        <v>154</v>
      </c>
      <c r="F413" t="s">
        <v>17</v>
      </c>
      <c r="G413" t="s">
        <v>104</v>
      </c>
      <c r="H413" t="s">
        <v>105</v>
      </c>
      <c r="I413">
        <v>32644</v>
      </c>
      <c r="J413">
        <v>1</v>
      </c>
      <c r="K413" t="s">
        <v>49</v>
      </c>
      <c r="L413">
        <v>3823.58</v>
      </c>
    </row>
    <row r="414" spans="1:12" x14ac:dyDescent="0.3">
      <c r="A414" t="s">
        <v>730</v>
      </c>
      <c r="B414" t="s">
        <v>13</v>
      </c>
      <c r="C414" t="s">
        <v>63</v>
      </c>
      <c r="D414" t="s">
        <v>15</v>
      </c>
      <c r="E414" t="s">
        <v>73</v>
      </c>
      <c r="F414" t="s">
        <v>17</v>
      </c>
      <c r="G414" t="s">
        <v>76</v>
      </c>
      <c r="H414" t="s">
        <v>77</v>
      </c>
      <c r="I414">
        <v>36829</v>
      </c>
      <c r="J414">
        <v>1</v>
      </c>
      <c r="K414" t="s">
        <v>28</v>
      </c>
      <c r="L414">
        <v>2760.13</v>
      </c>
    </row>
    <row r="415" spans="1:12" x14ac:dyDescent="0.3">
      <c r="A415" t="s">
        <v>731</v>
      </c>
      <c r="B415" t="s">
        <v>732</v>
      </c>
      <c r="C415" t="s">
        <v>91</v>
      </c>
      <c r="D415" t="s">
        <v>23</v>
      </c>
      <c r="E415" t="s">
        <v>82</v>
      </c>
      <c r="F415" t="s">
        <v>46</v>
      </c>
      <c r="G415" t="s">
        <v>47</v>
      </c>
      <c r="H415" t="s">
        <v>48</v>
      </c>
      <c r="I415">
        <v>46248</v>
      </c>
      <c r="J415">
        <v>9</v>
      </c>
      <c r="K415" t="s">
        <v>53</v>
      </c>
      <c r="L415">
        <v>4128.1000000000004</v>
      </c>
    </row>
    <row r="416" spans="1:12" x14ac:dyDescent="0.3">
      <c r="A416" t="s">
        <v>733</v>
      </c>
      <c r="B416" t="s">
        <v>356</v>
      </c>
      <c r="C416" t="s">
        <v>31</v>
      </c>
      <c r="D416" t="s">
        <v>32</v>
      </c>
      <c r="E416" t="s">
        <v>33</v>
      </c>
      <c r="F416" t="s">
        <v>46</v>
      </c>
      <c r="G416" t="s">
        <v>94</v>
      </c>
      <c r="H416" t="s">
        <v>95</v>
      </c>
      <c r="I416">
        <v>40942</v>
      </c>
      <c r="J416">
        <v>9</v>
      </c>
      <c r="K416" t="s">
        <v>20</v>
      </c>
      <c r="L416">
        <v>10382.57</v>
      </c>
    </row>
    <row r="417" spans="1:12" x14ac:dyDescent="0.3">
      <c r="A417" t="s">
        <v>734</v>
      </c>
      <c r="B417" t="s">
        <v>358</v>
      </c>
      <c r="C417" t="s">
        <v>72</v>
      </c>
      <c r="D417" t="s">
        <v>15</v>
      </c>
      <c r="E417" t="s">
        <v>16</v>
      </c>
      <c r="F417" t="s">
        <v>25</v>
      </c>
      <c r="G417" t="s">
        <v>26</v>
      </c>
      <c r="H417" t="s">
        <v>27</v>
      </c>
      <c r="I417">
        <v>46088</v>
      </c>
      <c r="J417">
        <v>6</v>
      </c>
      <c r="K417" t="s">
        <v>49</v>
      </c>
      <c r="L417">
        <v>11570.7</v>
      </c>
    </row>
    <row r="418" spans="1:12" x14ac:dyDescent="0.3">
      <c r="A418" t="s">
        <v>735</v>
      </c>
      <c r="B418" t="s">
        <v>587</v>
      </c>
      <c r="C418" t="s">
        <v>63</v>
      </c>
      <c r="D418" t="s">
        <v>38</v>
      </c>
      <c r="E418" t="s">
        <v>52</v>
      </c>
      <c r="F418" t="s">
        <v>46</v>
      </c>
      <c r="G418" t="s">
        <v>47</v>
      </c>
      <c r="H418" t="s">
        <v>48</v>
      </c>
      <c r="I418">
        <v>68759</v>
      </c>
      <c r="J418">
        <v>3</v>
      </c>
      <c r="K418" t="s">
        <v>34</v>
      </c>
      <c r="L418">
        <v>6667.65</v>
      </c>
    </row>
    <row r="419" spans="1:12" x14ac:dyDescent="0.3">
      <c r="A419" t="s">
        <v>736</v>
      </c>
      <c r="B419" t="s">
        <v>737</v>
      </c>
      <c r="C419" t="s">
        <v>66</v>
      </c>
      <c r="D419" t="s">
        <v>23</v>
      </c>
      <c r="E419" t="s">
        <v>82</v>
      </c>
      <c r="F419" t="s">
        <v>17</v>
      </c>
      <c r="G419" t="s">
        <v>76</v>
      </c>
      <c r="H419" t="s">
        <v>77</v>
      </c>
      <c r="I419">
        <v>30527</v>
      </c>
      <c r="J419">
        <v>4</v>
      </c>
      <c r="K419" t="s">
        <v>34</v>
      </c>
      <c r="L419">
        <v>3744.22</v>
      </c>
    </row>
    <row r="420" spans="1:12" x14ac:dyDescent="0.3">
      <c r="A420" t="s">
        <v>738</v>
      </c>
      <c r="B420" t="s">
        <v>107</v>
      </c>
      <c r="C420" t="s">
        <v>44</v>
      </c>
      <c r="D420" t="s">
        <v>32</v>
      </c>
      <c r="E420" t="s">
        <v>33</v>
      </c>
      <c r="F420" t="s">
        <v>25</v>
      </c>
      <c r="G420" t="s">
        <v>40</v>
      </c>
      <c r="H420" t="s">
        <v>41</v>
      </c>
      <c r="I420">
        <v>47576</v>
      </c>
      <c r="J420">
        <v>8</v>
      </c>
      <c r="K420" t="s">
        <v>20</v>
      </c>
      <c r="L420">
        <v>5323.47</v>
      </c>
    </row>
    <row r="421" spans="1:12" x14ac:dyDescent="0.3">
      <c r="A421" t="s">
        <v>739</v>
      </c>
      <c r="B421" t="s">
        <v>740</v>
      </c>
      <c r="C421" t="s">
        <v>14</v>
      </c>
      <c r="D421" t="s">
        <v>15</v>
      </c>
      <c r="E421" t="s">
        <v>73</v>
      </c>
      <c r="F421" t="s">
        <v>17</v>
      </c>
      <c r="G421" t="s">
        <v>104</v>
      </c>
      <c r="H421" t="s">
        <v>105</v>
      </c>
      <c r="I421">
        <v>42512</v>
      </c>
      <c r="J421">
        <v>4</v>
      </c>
      <c r="K421" t="s">
        <v>53</v>
      </c>
      <c r="L421">
        <v>11273.16</v>
      </c>
    </row>
    <row r="422" spans="1:12" x14ac:dyDescent="0.3">
      <c r="A422" t="s">
        <v>741</v>
      </c>
      <c r="B422" t="s">
        <v>69</v>
      </c>
      <c r="C422" t="s">
        <v>37</v>
      </c>
      <c r="D422" t="s">
        <v>38</v>
      </c>
      <c r="E422" t="s">
        <v>39</v>
      </c>
      <c r="F422" t="s">
        <v>17</v>
      </c>
      <c r="G422" t="s">
        <v>18</v>
      </c>
      <c r="H422" t="s">
        <v>19</v>
      </c>
      <c r="I422">
        <v>41535</v>
      </c>
      <c r="J422">
        <v>1</v>
      </c>
      <c r="K422" t="s">
        <v>53</v>
      </c>
      <c r="L422">
        <v>8774.33</v>
      </c>
    </row>
    <row r="423" spans="1:12" x14ac:dyDescent="0.3">
      <c r="A423" t="s">
        <v>742</v>
      </c>
      <c r="B423" t="s">
        <v>97</v>
      </c>
      <c r="C423" t="s">
        <v>63</v>
      </c>
      <c r="D423" t="s">
        <v>15</v>
      </c>
      <c r="E423" t="s">
        <v>154</v>
      </c>
      <c r="F423" t="s">
        <v>25</v>
      </c>
      <c r="G423" t="s">
        <v>40</v>
      </c>
      <c r="H423" t="s">
        <v>41</v>
      </c>
      <c r="I423">
        <v>1239</v>
      </c>
      <c r="J423">
        <v>5</v>
      </c>
      <c r="K423" t="s">
        <v>20</v>
      </c>
      <c r="L423">
        <v>281.93</v>
      </c>
    </row>
    <row r="424" spans="1:12" x14ac:dyDescent="0.3">
      <c r="A424" t="s">
        <v>743</v>
      </c>
      <c r="B424" t="s">
        <v>36</v>
      </c>
      <c r="C424" t="s">
        <v>91</v>
      </c>
      <c r="D424" t="s">
        <v>38</v>
      </c>
      <c r="E424" t="s">
        <v>67</v>
      </c>
      <c r="F424" t="s">
        <v>25</v>
      </c>
      <c r="G424" t="s">
        <v>57</v>
      </c>
      <c r="H424" t="s">
        <v>58</v>
      </c>
      <c r="I424">
        <v>56611</v>
      </c>
      <c r="J424">
        <v>4</v>
      </c>
      <c r="K424" t="s">
        <v>49</v>
      </c>
      <c r="L424">
        <v>7497.82</v>
      </c>
    </row>
    <row r="425" spans="1:12" x14ac:dyDescent="0.3">
      <c r="A425" t="s">
        <v>744</v>
      </c>
      <c r="B425" t="s">
        <v>745</v>
      </c>
      <c r="C425" t="s">
        <v>56</v>
      </c>
      <c r="D425" t="s">
        <v>15</v>
      </c>
      <c r="E425" t="s">
        <v>16</v>
      </c>
      <c r="F425" t="s">
        <v>46</v>
      </c>
      <c r="G425" t="s">
        <v>47</v>
      </c>
      <c r="H425" t="s">
        <v>48</v>
      </c>
      <c r="I425">
        <v>55743</v>
      </c>
      <c r="J425">
        <v>9</v>
      </c>
      <c r="K425" t="s">
        <v>34</v>
      </c>
      <c r="L425">
        <v>14097.73</v>
      </c>
    </row>
    <row r="426" spans="1:12" x14ac:dyDescent="0.3">
      <c r="A426" t="s">
        <v>746</v>
      </c>
      <c r="B426" t="s">
        <v>747</v>
      </c>
      <c r="C426" t="s">
        <v>91</v>
      </c>
      <c r="D426" t="s">
        <v>15</v>
      </c>
      <c r="E426" t="s">
        <v>16</v>
      </c>
      <c r="F426" t="s">
        <v>46</v>
      </c>
      <c r="G426" t="s">
        <v>87</v>
      </c>
      <c r="H426" t="s">
        <v>88</v>
      </c>
      <c r="I426">
        <v>31794</v>
      </c>
      <c r="J426">
        <v>2</v>
      </c>
      <c r="K426" t="s">
        <v>49</v>
      </c>
      <c r="L426">
        <v>4389.74</v>
      </c>
    </row>
    <row r="427" spans="1:12" x14ac:dyDescent="0.3">
      <c r="A427" t="s">
        <v>748</v>
      </c>
      <c r="B427" t="s">
        <v>749</v>
      </c>
      <c r="C427" t="s">
        <v>56</v>
      </c>
      <c r="D427" t="s">
        <v>23</v>
      </c>
      <c r="E427" t="s">
        <v>82</v>
      </c>
      <c r="F427" t="s">
        <v>25</v>
      </c>
      <c r="G427" t="s">
        <v>26</v>
      </c>
      <c r="H427" t="s">
        <v>27</v>
      </c>
      <c r="I427">
        <v>42133</v>
      </c>
      <c r="J427">
        <v>6</v>
      </c>
      <c r="K427" t="s">
        <v>28</v>
      </c>
      <c r="L427">
        <v>4088.61</v>
      </c>
    </row>
    <row r="428" spans="1:12" x14ac:dyDescent="0.3">
      <c r="A428" t="s">
        <v>750</v>
      </c>
      <c r="B428" t="s">
        <v>751</v>
      </c>
      <c r="C428" t="s">
        <v>14</v>
      </c>
      <c r="D428" t="s">
        <v>38</v>
      </c>
      <c r="E428" t="s">
        <v>39</v>
      </c>
      <c r="F428" t="s">
        <v>25</v>
      </c>
      <c r="G428" t="s">
        <v>26</v>
      </c>
      <c r="H428" t="s">
        <v>27</v>
      </c>
      <c r="I428">
        <v>54125</v>
      </c>
      <c r="J428">
        <v>1</v>
      </c>
      <c r="K428" t="s">
        <v>49</v>
      </c>
      <c r="L428">
        <v>5802.29</v>
      </c>
    </row>
    <row r="429" spans="1:12" x14ac:dyDescent="0.3">
      <c r="A429" t="s">
        <v>752</v>
      </c>
      <c r="B429" t="s">
        <v>753</v>
      </c>
      <c r="C429" t="s">
        <v>56</v>
      </c>
      <c r="D429" t="s">
        <v>15</v>
      </c>
      <c r="E429" t="s">
        <v>154</v>
      </c>
      <c r="F429" t="s">
        <v>25</v>
      </c>
      <c r="G429" t="s">
        <v>57</v>
      </c>
      <c r="H429" t="s">
        <v>58</v>
      </c>
      <c r="I429">
        <v>52818</v>
      </c>
      <c r="J429">
        <v>7</v>
      </c>
      <c r="K429" t="s">
        <v>28</v>
      </c>
      <c r="L429">
        <v>11113.71</v>
      </c>
    </row>
    <row r="430" spans="1:12" x14ac:dyDescent="0.3">
      <c r="A430" t="s">
        <v>754</v>
      </c>
      <c r="B430" t="s">
        <v>687</v>
      </c>
      <c r="C430" t="s">
        <v>63</v>
      </c>
      <c r="D430" t="s">
        <v>15</v>
      </c>
      <c r="E430" t="s">
        <v>73</v>
      </c>
      <c r="F430" t="s">
        <v>25</v>
      </c>
      <c r="G430" t="s">
        <v>40</v>
      </c>
      <c r="H430" t="s">
        <v>41</v>
      </c>
      <c r="I430">
        <v>21936</v>
      </c>
      <c r="J430">
        <v>1</v>
      </c>
      <c r="K430" t="s">
        <v>34</v>
      </c>
      <c r="L430">
        <v>4939.28</v>
      </c>
    </row>
    <row r="431" spans="1:12" x14ac:dyDescent="0.3">
      <c r="A431" t="s">
        <v>755</v>
      </c>
      <c r="B431" t="s">
        <v>756</v>
      </c>
      <c r="C431" t="s">
        <v>44</v>
      </c>
      <c r="D431" t="s">
        <v>15</v>
      </c>
      <c r="E431" t="s">
        <v>16</v>
      </c>
      <c r="F431" t="s">
        <v>17</v>
      </c>
      <c r="G431" t="s">
        <v>104</v>
      </c>
      <c r="H431" t="s">
        <v>105</v>
      </c>
      <c r="I431">
        <v>62799</v>
      </c>
      <c r="J431">
        <v>9</v>
      </c>
      <c r="K431" t="s">
        <v>53</v>
      </c>
      <c r="L431">
        <v>7843.46</v>
      </c>
    </row>
    <row r="432" spans="1:12" x14ac:dyDescent="0.3">
      <c r="A432" t="s">
        <v>757</v>
      </c>
      <c r="B432" t="s">
        <v>523</v>
      </c>
      <c r="C432" t="s">
        <v>31</v>
      </c>
      <c r="D432" t="s">
        <v>15</v>
      </c>
      <c r="E432" t="s">
        <v>16</v>
      </c>
      <c r="F432" t="s">
        <v>17</v>
      </c>
      <c r="G432" t="s">
        <v>76</v>
      </c>
      <c r="H432" t="s">
        <v>77</v>
      </c>
      <c r="I432">
        <v>34528</v>
      </c>
      <c r="J432">
        <v>3</v>
      </c>
      <c r="K432" t="s">
        <v>20</v>
      </c>
      <c r="L432">
        <v>6347.72</v>
      </c>
    </row>
    <row r="433" spans="1:12" x14ac:dyDescent="0.3">
      <c r="A433" t="s">
        <v>758</v>
      </c>
      <c r="B433" t="s">
        <v>226</v>
      </c>
      <c r="C433" t="s">
        <v>63</v>
      </c>
      <c r="D433" t="s">
        <v>38</v>
      </c>
      <c r="E433" t="s">
        <v>52</v>
      </c>
      <c r="F433" t="s">
        <v>46</v>
      </c>
      <c r="G433" t="s">
        <v>94</v>
      </c>
      <c r="H433" t="s">
        <v>95</v>
      </c>
      <c r="I433">
        <v>11055</v>
      </c>
      <c r="J433">
        <v>6</v>
      </c>
      <c r="K433" t="s">
        <v>28</v>
      </c>
      <c r="L433">
        <v>1935.15</v>
      </c>
    </row>
    <row r="434" spans="1:12" x14ac:dyDescent="0.3">
      <c r="A434" t="s">
        <v>759</v>
      </c>
      <c r="B434" t="s">
        <v>55</v>
      </c>
      <c r="C434" t="s">
        <v>121</v>
      </c>
      <c r="D434" t="s">
        <v>15</v>
      </c>
      <c r="E434" t="s">
        <v>16</v>
      </c>
      <c r="F434" t="s">
        <v>46</v>
      </c>
      <c r="G434" t="s">
        <v>47</v>
      </c>
      <c r="H434" t="s">
        <v>48</v>
      </c>
      <c r="I434">
        <v>2413</v>
      </c>
      <c r="J434">
        <v>7</v>
      </c>
      <c r="K434" t="s">
        <v>28</v>
      </c>
      <c r="L434">
        <v>250.2</v>
      </c>
    </row>
    <row r="435" spans="1:12" x14ac:dyDescent="0.3">
      <c r="A435" t="s">
        <v>760</v>
      </c>
      <c r="B435" t="s">
        <v>612</v>
      </c>
      <c r="C435" t="s">
        <v>63</v>
      </c>
      <c r="D435" t="s">
        <v>15</v>
      </c>
      <c r="E435" t="s">
        <v>16</v>
      </c>
      <c r="F435" t="s">
        <v>46</v>
      </c>
      <c r="G435" t="s">
        <v>87</v>
      </c>
      <c r="H435" t="s">
        <v>88</v>
      </c>
      <c r="I435">
        <v>19160</v>
      </c>
      <c r="J435">
        <v>8</v>
      </c>
      <c r="K435" t="s">
        <v>34</v>
      </c>
      <c r="L435">
        <v>3881.1</v>
      </c>
    </row>
    <row r="436" spans="1:12" x14ac:dyDescent="0.3">
      <c r="A436" t="s">
        <v>761</v>
      </c>
      <c r="B436" t="s">
        <v>299</v>
      </c>
      <c r="C436" t="s">
        <v>91</v>
      </c>
      <c r="D436" t="s">
        <v>15</v>
      </c>
      <c r="E436" t="s">
        <v>16</v>
      </c>
      <c r="F436" t="s">
        <v>17</v>
      </c>
      <c r="G436" t="s">
        <v>104</v>
      </c>
      <c r="H436" t="s">
        <v>105</v>
      </c>
      <c r="I436">
        <v>32184</v>
      </c>
      <c r="J436">
        <v>8</v>
      </c>
      <c r="K436" t="s">
        <v>34</v>
      </c>
      <c r="L436">
        <v>3481.19</v>
      </c>
    </row>
    <row r="437" spans="1:12" x14ac:dyDescent="0.3">
      <c r="A437" t="s">
        <v>762</v>
      </c>
      <c r="B437" t="s">
        <v>763</v>
      </c>
      <c r="C437" t="s">
        <v>14</v>
      </c>
      <c r="D437" t="s">
        <v>32</v>
      </c>
      <c r="E437" t="s">
        <v>33</v>
      </c>
      <c r="F437" t="s">
        <v>25</v>
      </c>
      <c r="G437" t="s">
        <v>40</v>
      </c>
      <c r="H437" t="s">
        <v>41</v>
      </c>
      <c r="I437">
        <v>40026</v>
      </c>
      <c r="J437">
        <v>7</v>
      </c>
      <c r="K437" t="s">
        <v>49</v>
      </c>
      <c r="L437">
        <v>6188.07</v>
      </c>
    </row>
    <row r="438" spans="1:12" x14ac:dyDescent="0.3">
      <c r="A438" t="s">
        <v>764</v>
      </c>
      <c r="B438" t="s">
        <v>145</v>
      </c>
      <c r="C438" t="s">
        <v>121</v>
      </c>
      <c r="D438" t="s">
        <v>38</v>
      </c>
      <c r="E438" t="s">
        <v>39</v>
      </c>
      <c r="F438" t="s">
        <v>25</v>
      </c>
      <c r="G438" t="s">
        <v>57</v>
      </c>
      <c r="H438" t="s">
        <v>58</v>
      </c>
      <c r="I438">
        <v>76316</v>
      </c>
      <c r="J438">
        <v>8</v>
      </c>
      <c r="K438" t="s">
        <v>34</v>
      </c>
      <c r="L438">
        <v>7714</v>
      </c>
    </row>
    <row r="439" spans="1:12" x14ac:dyDescent="0.3">
      <c r="A439" t="s">
        <v>765</v>
      </c>
      <c r="B439" t="s">
        <v>465</v>
      </c>
      <c r="C439" t="s">
        <v>66</v>
      </c>
      <c r="D439" t="s">
        <v>32</v>
      </c>
      <c r="E439" t="s">
        <v>33</v>
      </c>
      <c r="F439" t="s">
        <v>25</v>
      </c>
      <c r="G439" t="s">
        <v>40</v>
      </c>
      <c r="H439" t="s">
        <v>41</v>
      </c>
      <c r="I439">
        <v>72784</v>
      </c>
      <c r="J439">
        <v>10</v>
      </c>
      <c r="K439" t="s">
        <v>28</v>
      </c>
      <c r="L439">
        <v>15965.03</v>
      </c>
    </row>
    <row r="440" spans="1:12" x14ac:dyDescent="0.3">
      <c r="A440" t="s">
        <v>766</v>
      </c>
      <c r="B440" t="s">
        <v>767</v>
      </c>
      <c r="C440" t="s">
        <v>121</v>
      </c>
      <c r="D440" t="s">
        <v>23</v>
      </c>
      <c r="E440" t="s">
        <v>82</v>
      </c>
      <c r="F440" t="s">
        <v>25</v>
      </c>
      <c r="G440" t="s">
        <v>40</v>
      </c>
      <c r="H440" t="s">
        <v>41</v>
      </c>
      <c r="I440">
        <v>53689</v>
      </c>
      <c r="J440">
        <v>3</v>
      </c>
      <c r="K440" t="s">
        <v>53</v>
      </c>
      <c r="L440">
        <v>12622.57</v>
      </c>
    </row>
    <row r="441" spans="1:12" x14ac:dyDescent="0.3">
      <c r="A441" t="s">
        <v>768</v>
      </c>
      <c r="B441" t="s">
        <v>433</v>
      </c>
      <c r="C441" t="s">
        <v>91</v>
      </c>
      <c r="D441" t="s">
        <v>38</v>
      </c>
      <c r="E441" t="s">
        <v>52</v>
      </c>
      <c r="F441" t="s">
        <v>25</v>
      </c>
      <c r="G441" t="s">
        <v>40</v>
      </c>
      <c r="H441" t="s">
        <v>41</v>
      </c>
      <c r="I441">
        <v>60374</v>
      </c>
      <c r="J441">
        <v>6</v>
      </c>
      <c r="K441" t="s">
        <v>28</v>
      </c>
      <c r="L441">
        <v>14266.41</v>
      </c>
    </row>
    <row r="442" spans="1:12" x14ac:dyDescent="0.3">
      <c r="A442" t="s">
        <v>769</v>
      </c>
      <c r="B442" t="s">
        <v>198</v>
      </c>
      <c r="C442" t="s">
        <v>121</v>
      </c>
      <c r="D442" t="s">
        <v>38</v>
      </c>
      <c r="E442" t="s">
        <v>67</v>
      </c>
      <c r="F442" t="s">
        <v>25</v>
      </c>
      <c r="G442" t="s">
        <v>40</v>
      </c>
      <c r="H442" t="s">
        <v>41</v>
      </c>
      <c r="I442">
        <v>35570</v>
      </c>
      <c r="J442">
        <v>8</v>
      </c>
      <c r="K442" t="s">
        <v>34</v>
      </c>
      <c r="L442">
        <v>4279.0200000000004</v>
      </c>
    </row>
    <row r="443" spans="1:12" x14ac:dyDescent="0.3">
      <c r="A443" t="s">
        <v>770</v>
      </c>
      <c r="B443" t="s">
        <v>604</v>
      </c>
      <c r="C443" t="s">
        <v>44</v>
      </c>
      <c r="D443" t="s">
        <v>32</v>
      </c>
      <c r="E443" t="s">
        <v>33</v>
      </c>
      <c r="F443" t="s">
        <v>17</v>
      </c>
      <c r="G443" t="s">
        <v>76</v>
      </c>
      <c r="H443" t="s">
        <v>77</v>
      </c>
      <c r="I443">
        <v>10704</v>
      </c>
      <c r="J443">
        <v>1</v>
      </c>
      <c r="K443" t="s">
        <v>34</v>
      </c>
      <c r="L443">
        <v>1316.11</v>
      </c>
    </row>
    <row r="444" spans="1:12" x14ac:dyDescent="0.3">
      <c r="A444" t="s">
        <v>771</v>
      </c>
      <c r="B444" t="s">
        <v>602</v>
      </c>
      <c r="C444" t="s">
        <v>63</v>
      </c>
      <c r="D444" t="s">
        <v>32</v>
      </c>
      <c r="E444" t="s">
        <v>33</v>
      </c>
      <c r="F444" t="s">
        <v>46</v>
      </c>
      <c r="G444" t="s">
        <v>94</v>
      </c>
      <c r="H444" t="s">
        <v>95</v>
      </c>
      <c r="I444">
        <v>24385</v>
      </c>
      <c r="J444">
        <v>9</v>
      </c>
      <c r="K444" t="s">
        <v>20</v>
      </c>
      <c r="L444">
        <v>4777.79</v>
      </c>
    </row>
    <row r="445" spans="1:12" x14ac:dyDescent="0.3">
      <c r="A445" t="s">
        <v>772</v>
      </c>
      <c r="B445" t="s">
        <v>158</v>
      </c>
      <c r="C445" t="s">
        <v>14</v>
      </c>
      <c r="D445" t="s">
        <v>15</v>
      </c>
      <c r="E445" t="s">
        <v>73</v>
      </c>
      <c r="F445" t="s">
        <v>46</v>
      </c>
      <c r="G445" t="s">
        <v>94</v>
      </c>
      <c r="H445" t="s">
        <v>95</v>
      </c>
      <c r="I445">
        <v>13835</v>
      </c>
      <c r="J445">
        <v>8</v>
      </c>
      <c r="K445" t="s">
        <v>53</v>
      </c>
      <c r="L445">
        <v>2470.62</v>
      </c>
    </row>
    <row r="446" spans="1:12" x14ac:dyDescent="0.3">
      <c r="A446" t="s">
        <v>773</v>
      </c>
      <c r="B446" t="s">
        <v>659</v>
      </c>
      <c r="C446" t="s">
        <v>63</v>
      </c>
      <c r="D446" t="s">
        <v>32</v>
      </c>
      <c r="E446" t="s">
        <v>45</v>
      </c>
      <c r="F446" t="s">
        <v>25</v>
      </c>
      <c r="G446" t="s">
        <v>26</v>
      </c>
      <c r="H446" t="s">
        <v>27</v>
      </c>
      <c r="I446">
        <v>30738</v>
      </c>
      <c r="J446">
        <v>4</v>
      </c>
      <c r="K446" t="s">
        <v>49</v>
      </c>
      <c r="L446">
        <v>7440.59</v>
      </c>
    </row>
    <row r="447" spans="1:12" x14ac:dyDescent="0.3">
      <c r="A447" t="s">
        <v>774</v>
      </c>
      <c r="B447" t="s">
        <v>387</v>
      </c>
      <c r="C447" t="s">
        <v>31</v>
      </c>
      <c r="D447" t="s">
        <v>23</v>
      </c>
      <c r="E447" t="s">
        <v>82</v>
      </c>
      <c r="F447" t="s">
        <v>17</v>
      </c>
      <c r="G447" t="s">
        <v>104</v>
      </c>
      <c r="H447" t="s">
        <v>105</v>
      </c>
      <c r="I447">
        <v>39957</v>
      </c>
      <c r="J447">
        <v>6</v>
      </c>
      <c r="K447" t="s">
        <v>34</v>
      </c>
      <c r="L447">
        <v>3254.11</v>
      </c>
    </row>
    <row r="448" spans="1:12" x14ac:dyDescent="0.3">
      <c r="A448" t="s">
        <v>775</v>
      </c>
      <c r="B448" t="s">
        <v>297</v>
      </c>
      <c r="C448" t="s">
        <v>91</v>
      </c>
      <c r="D448" t="s">
        <v>15</v>
      </c>
      <c r="E448" t="s">
        <v>154</v>
      </c>
      <c r="F448" t="s">
        <v>17</v>
      </c>
      <c r="G448" t="s">
        <v>18</v>
      </c>
      <c r="H448" t="s">
        <v>19</v>
      </c>
      <c r="I448">
        <v>27361</v>
      </c>
      <c r="J448">
        <v>4</v>
      </c>
      <c r="K448" t="s">
        <v>20</v>
      </c>
      <c r="L448">
        <v>2821.62</v>
      </c>
    </row>
    <row r="449" spans="1:12" x14ac:dyDescent="0.3">
      <c r="A449" t="s">
        <v>776</v>
      </c>
      <c r="B449" t="s">
        <v>147</v>
      </c>
      <c r="C449" t="s">
        <v>63</v>
      </c>
      <c r="D449" t="s">
        <v>32</v>
      </c>
      <c r="E449" t="s">
        <v>116</v>
      </c>
      <c r="F449" t="s">
        <v>17</v>
      </c>
      <c r="G449" t="s">
        <v>76</v>
      </c>
      <c r="H449" t="s">
        <v>77</v>
      </c>
      <c r="I449">
        <v>54498</v>
      </c>
      <c r="J449">
        <v>1</v>
      </c>
      <c r="K449" t="s">
        <v>28</v>
      </c>
      <c r="L449">
        <v>5212.68</v>
      </c>
    </row>
    <row r="450" spans="1:12" x14ac:dyDescent="0.3">
      <c r="A450" t="s">
        <v>777</v>
      </c>
      <c r="B450" t="s">
        <v>778</v>
      </c>
      <c r="C450" t="s">
        <v>121</v>
      </c>
      <c r="D450" t="s">
        <v>23</v>
      </c>
      <c r="E450" t="s">
        <v>24</v>
      </c>
      <c r="F450" t="s">
        <v>25</v>
      </c>
      <c r="G450" t="s">
        <v>57</v>
      </c>
      <c r="H450" t="s">
        <v>58</v>
      </c>
      <c r="I450">
        <v>26442</v>
      </c>
      <c r="J450">
        <v>3</v>
      </c>
      <c r="K450" t="s">
        <v>34</v>
      </c>
      <c r="L450">
        <v>5997.64</v>
      </c>
    </row>
    <row r="451" spans="1:12" x14ac:dyDescent="0.3">
      <c r="A451" t="s">
        <v>779</v>
      </c>
      <c r="B451" t="s">
        <v>93</v>
      </c>
      <c r="C451" t="s">
        <v>44</v>
      </c>
      <c r="D451" t="s">
        <v>32</v>
      </c>
      <c r="E451" t="s">
        <v>33</v>
      </c>
      <c r="F451" t="s">
        <v>17</v>
      </c>
      <c r="G451" t="s">
        <v>76</v>
      </c>
      <c r="H451" t="s">
        <v>77</v>
      </c>
      <c r="I451">
        <v>3406</v>
      </c>
      <c r="J451">
        <v>5</v>
      </c>
      <c r="K451" t="s">
        <v>20</v>
      </c>
      <c r="L451">
        <v>932.98</v>
      </c>
    </row>
    <row r="452" spans="1:12" x14ac:dyDescent="0.3">
      <c r="A452" t="s">
        <v>780</v>
      </c>
      <c r="B452" t="s">
        <v>641</v>
      </c>
      <c r="C452" t="s">
        <v>72</v>
      </c>
      <c r="D452" t="s">
        <v>38</v>
      </c>
      <c r="E452" t="s">
        <v>52</v>
      </c>
      <c r="F452" t="s">
        <v>25</v>
      </c>
      <c r="G452" t="s">
        <v>40</v>
      </c>
      <c r="H452" t="s">
        <v>41</v>
      </c>
      <c r="I452">
        <v>8323</v>
      </c>
      <c r="J452">
        <v>8</v>
      </c>
      <c r="K452" t="s">
        <v>20</v>
      </c>
      <c r="L452">
        <v>2243.86</v>
      </c>
    </row>
    <row r="453" spans="1:12" x14ac:dyDescent="0.3">
      <c r="A453" t="s">
        <v>781</v>
      </c>
      <c r="B453" t="s">
        <v>312</v>
      </c>
      <c r="C453" t="s">
        <v>63</v>
      </c>
      <c r="D453" t="s">
        <v>23</v>
      </c>
      <c r="E453" t="s">
        <v>129</v>
      </c>
      <c r="F453" t="s">
        <v>46</v>
      </c>
      <c r="G453" t="s">
        <v>94</v>
      </c>
      <c r="H453" t="s">
        <v>95</v>
      </c>
      <c r="I453">
        <v>73888</v>
      </c>
      <c r="J453">
        <v>2</v>
      </c>
      <c r="K453" t="s">
        <v>20</v>
      </c>
      <c r="L453">
        <v>11969.79</v>
      </c>
    </row>
    <row r="454" spans="1:12" x14ac:dyDescent="0.3">
      <c r="A454" t="s">
        <v>782</v>
      </c>
      <c r="B454" t="s">
        <v>698</v>
      </c>
      <c r="C454" t="s">
        <v>121</v>
      </c>
      <c r="D454" t="s">
        <v>38</v>
      </c>
      <c r="E454" t="s">
        <v>39</v>
      </c>
      <c r="F454" t="s">
        <v>25</v>
      </c>
      <c r="G454" t="s">
        <v>57</v>
      </c>
      <c r="H454" t="s">
        <v>58</v>
      </c>
      <c r="I454">
        <v>75407</v>
      </c>
      <c r="J454">
        <v>3</v>
      </c>
      <c r="K454" t="s">
        <v>28</v>
      </c>
      <c r="L454">
        <v>17012.28</v>
      </c>
    </row>
    <row r="455" spans="1:12" x14ac:dyDescent="0.3">
      <c r="A455" t="s">
        <v>783</v>
      </c>
      <c r="B455" t="s">
        <v>358</v>
      </c>
      <c r="C455" t="s">
        <v>121</v>
      </c>
      <c r="D455" t="s">
        <v>38</v>
      </c>
      <c r="E455" t="s">
        <v>39</v>
      </c>
      <c r="F455" t="s">
        <v>46</v>
      </c>
      <c r="G455" t="s">
        <v>47</v>
      </c>
      <c r="H455" t="s">
        <v>48</v>
      </c>
      <c r="I455">
        <v>44751</v>
      </c>
      <c r="J455">
        <v>7</v>
      </c>
      <c r="K455" t="s">
        <v>53</v>
      </c>
      <c r="L455">
        <v>3680.34</v>
      </c>
    </row>
    <row r="456" spans="1:12" x14ac:dyDescent="0.3">
      <c r="A456" t="s">
        <v>784</v>
      </c>
      <c r="B456" t="s">
        <v>410</v>
      </c>
      <c r="C456" t="s">
        <v>121</v>
      </c>
      <c r="D456" t="s">
        <v>38</v>
      </c>
      <c r="E456" t="s">
        <v>67</v>
      </c>
      <c r="F456" t="s">
        <v>46</v>
      </c>
      <c r="G456" t="s">
        <v>94</v>
      </c>
      <c r="H456" t="s">
        <v>95</v>
      </c>
      <c r="I456">
        <v>55870</v>
      </c>
      <c r="J456">
        <v>1</v>
      </c>
      <c r="K456" t="s">
        <v>28</v>
      </c>
      <c r="L456">
        <v>10394.91</v>
      </c>
    </row>
    <row r="457" spans="1:12" x14ac:dyDescent="0.3">
      <c r="A457" t="s">
        <v>785</v>
      </c>
      <c r="B457" t="s">
        <v>786</v>
      </c>
      <c r="C457" t="s">
        <v>31</v>
      </c>
      <c r="D457" t="s">
        <v>23</v>
      </c>
      <c r="E457" t="s">
        <v>129</v>
      </c>
      <c r="F457" t="s">
        <v>17</v>
      </c>
      <c r="G457" t="s">
        <v>76</v>
      </c>
      <c r="H457" t="s">
        <v>77</v>
      </c>
      <c r="I457">
        <v>2948</v>
      </c>
      <c r="J457">
        <v>6</v>
      </c>
      <c r="K457" t="s">
        <v>20</v>
      </c>
      <c r="L457">
        <v>517.42999999999995</v>
      </c>
    </row>
    <row r="458" spans="1:12" x14ac:dyDescent="0.3">
      <c r="A458" t="s">
        <v>787</v>
      </c>
      <c r="B458" t="s">
        <v>180</v>
      </c>
      <c r="C458" t="s">
        <v>63</v>
      </c>
      <c r="D458" t="s">
        <v>23</v>
      </c>
      <c r="E458" t="s">
        <v>82</v>
      </c>
      <c r="F458" t="s">
        <v>17</v>
      </c>
      <c r="G458" t="s">
        <v>76</v>
      </c>
      <c r="H458" t="s">
        <v>77</v>
      </c>
      <c r="I458">
        <v>29785</v>
      </c>
      <c r="J458">
        <v>8</v>
      </c>
      <c r="K458" t="s">
        <v>49</v>
      </c>
      <c r="L458">
        <v>7691.15</v>
      </c>
    </row>
    <row r="459" spans="1:12" x14ac:dyDescent="0.3">
      <c r="A459" t="s">
        <v>788</v>
      </c>
      <c r="B459" t="s">
        <v>202</v>
      </c>
      <c r="C459" t="s">
        <v>63</v>
      </c>
      <c r="D459" t="s">
        <v>32</v>
      </c>
      <c r="E459" t="s">
        <v>33</v>
      </c>
      <c r="F459" t="s">
        <v>46</v>
      </c>
      <c r="G459" t="s">
        <v>47</v>
      </c>
      <c r="H459" t="s">
        <v>48</v>
      </c>
      <c r="I459">
        <v>35798</v>
      </c>
      <c r="J459">
        <v>1</v>
      </c>
      <c r="K459" t="s">
        <v>20</v>
      </c>
      <c r="L459">
        <v>6732.47</v>
      </c>
    </row>
    <row r="460" spans="1:12" x14ac:dyDescent="0.3">
      <c r="A460" t="s">
        <v>789</v>
      </c>
      <c r="B460" t="s">
        <v>390</v>
      </c>
      <c r="C460" t="s">
        <v>63</v>
      </c>
      <c r="D460" t="s">
        <v>23</v>
      </c>
      <c r="E460" t="s">
        <v>82</v>
      </c>
      <c r="F460" t="s">
        <v>25</v>
      </c>
      <c r="G460" t="s">
        <v>57</v>
      </c>
      <c r="H460" t="s">
        <v>58</v>
      </c>
      <c r="I460">
        <v>55992</v>
      </c>
      <c r="J460">
        <v>10</v>
      </c>
      <c r="K460" t="s">
        <v>20</v>
      </c>
      <c r="L460">
        <v>15123.16</v>
      </c>
    </row>
    <row r="461" spans="1:12" x14ac:dyDescent="0.3">
      <c r="A461" t="s">
        <v>790</v>
      </c>
      <c r="B461" t="s">
        <v>358</v>
      </c>
      <c r="C461" t="s">
        <v>66</v>
      </c>
      <c r="D461" t="s">
        <v>32</v>
      </c>
      <c r="E461" t="s">
        <v>45</v>
      </c>
      <c r="F461" t="s">
        <v>25</v>
      </c>
      <c r="G461" t="s">
        <v>40</v>
      </c>
      <c r="H461" t="s">
        <v>41</v>
      </c>
      <c r="I461">
        <v>22741</v>
      </c>
      <c r="J461">
        <v>8</v>
      </c>
      <c r="K461" t="s">
        <v>20</v>
      </c>
      <c r="L461">
        <v>4116.13</v>
      </c>
    </row>
    <row r="462" spans="1:12" x14ac:dyDescent="0.3">
      <c r="A462" t="s">
        <v>791</v>
      </c>
      <c r="B462" t="s">
        <v>792</v>
      </c>
      <c r="C462" t="s">
        <v>31</v>
      </c>
      <c r="D462" t="s">
        <v>23</v>
      </c>
      <c r="E462" t="s">
        <v>24</v>
      </c>
      <c r="F462" t="s">
        <v>46</v>
      </c>
      <c r="G462" t="s">
        <v>47</v>
      </c>
      <c r="H462" t="s">
        <v>48</v>
      </c>
      <c r="I462">
        <v>22963</v>
      </c>
      <c r="J462">
        <v>10</v>
      </c>
      <c r="K462" t="s">
        <v>53</v>
      </c>
      <c r="L462">
        <v>4538.29</v>
      </c>
    </row>
    <row r="463" spans="1:12" x14ac:dyDescent="0.3">
      <c r="A463" t="s">
        <v>793</v>
      </c>
      <c r="B463" t="s">
        <v>367</v>
      </c>
      <c r="C463" t="s">
        <v>37</v>
      </c>
      <c r="D463" t="s">
        <v>15</v>
      </c>
      <c r="E463" t="s">
        <v>154</v>
      </c>
      <c r="F463" t="s">
        <v>25</v>
      </c>
      <c r="G463" t="s">
        <v>40</v>
      </c>
      <c r="H463" t="s">
        <v>41</v>
      </c>
      <c r="I463">
        <v>57948</v>
      </c>
      <c r="J463">
        <v>6</v>
      </c>
      <c r="K463" t="s">
        <v>34</v>
      </c>
      <c r="L463">
        <v>5623.33</v>
      </c>
    </row>
    <row r="464" spans="1:12" x14ac:dyDescent="0.3">
      <c r="A464" t="s">
        <v>794</v>
      </c>
      <c r="B464" t="s">
        <v>795</v>
      </c>
      <c r="C464" t="s">
        <v>56</v>
      </c>
      <c r="D464" t="s">
        <v>15</v>
      </c>
      <c r="E464" t="s">
        <v>73</v>
      </c>
      <c r="F464" t="s">
        <v>25</v>
      </c>
      <c r="G464" t="s">
        <v>57</v>
      </c>
      <c r="H464" t="s">
        <v>58</v>
      </c>
      <c r="I464">
        <v>64148</v>
      </c>
      <c r="J464">
        <v>5</v>
      </c>
      <c r="K464" t="s">
        <v>34</v>
      </c>
      <c r="L464">
        <v>11424.44</v>
      </c>
    </row>
    <row r="465" spans="1:12" x14ac:dyDescent="0.3">
      <c r="A465" t="s">
        <v>796</v>
      </c>
      <c r="B465" t="s">
        <v>740</v>
      </c>
      <c r="C465" t="s">
        <v>66</v>
      </c>
      <c r="D465" t="s">
        <v>32</v>
      </c>
      <c r="E465" t="s">
        <v>116</v>
      </c>
      <c r="F465" t="s">
        <v>25</v>
      </c>
      <c r="G465" t="s">
        <v>40</v>
      </c>
      <c r="H465" t="s">
        <v>41</v>
      </c>
      <c r="I465">
        <v>38637</v>
      </c>
      <c r="J465">
        <v>4</v>
      </c>
      <c r="K465" t="s">
        <v>20</v>
      </c>
      <c r="L465">
        <v>4626.6899999999996</v>
      </c>
    </row>
    <row r="466" spans="1:12" x14ac:dyDescent="0.3">
      <c r="A466" t="s">
        <v>797</v>
      </c>
      <c r="B466" t="s">
        <v>222</v>
      </c>
      <c r="C466" t="s">
        <v>14</v>
      </c>
      <c r="D466" t="s">
        <v>15</v>
      </c>
      <c r="E466" t="s">
        <v>73</v>
      </c>
      <c r="F466" t="s">
        <v>17</v>
      </c>
      <c r="G466" t="s">
        <v>104</v>
      </c>
      <c r="H466" t="s">
        <v>105</v>
      </c>
      <c r="I466">
        <v>1693</v>
      </c>
      <c r="J466">
        <v>1</v>
      </c>
      <c r="K466" t="s">
        <v>34</v>
      </c>
      <c r="L466">
        <v>137.66</v>
      </c>
    </row>
    <row r="467" spans="1:12" x14ac:dyDescent="0.3">
      <c r="A467" t="s">
        <v>798</v>
      </c>
      <c r="B467" t="s">
        <v>799</v>
      </c>
      <c r="C467" t="s">
        <v>14</v>
      </c>
      <c r="D467" t="s">
        <v>15</v>
      </c>
      <c r="E467" t="s">
        <v>154</v>
      </c>
      <c r="F467" t="s">
        <v>46</v>
      </c>
      <c r="G467" t="s">
        <v>87</v>
      </c>
      <c r="H467" t="s">
        <v>88</v>
      </c>
      <c r="I467">
        <v>43436</v>
      </c>
      <c r="J467">
        <v>2</v>
      </c>
      <c r="K467" t="s">
        <v>28</v>
      </c>
      <c r="L467">
        <v>4503.67</v>
      </c>
    </row>
    <row r="468" spans="1:12" x14ac:dyDescent="0.3">
      <c r="A468" t="s">
        <v>800</v>
      </c>
      <c r="B468" t="s">
        <v>301</v>
      </c>
      <c r="C468" t="s">
        <v>14</v>
      </c>
      <c r="D468" t="s">
        <v>38</v>
      </c>
      <c r="E468" t="s">
        <v>52</v>
      </c>
      <c r="F468" t="s">
        <v>25</v>
      </c>
      <c r="G468" t="s">
        <v>40</v>
      </c>
      <c r="H468" t="s">
        <v>41</v>
      </c>
      <c r="I468">
        <v>46784</v>
      </c>
      <c r="J468">
        <v>10</v>
      </c>
      <c r="K468" t="s">
        <v>53</v>
      </c>
      <c r="L468">
        <v>4813.49</v>
      </c>
    </row>
    <row r="469" spans="1:12" x14ac:dyDescent="0.3">
      <c r="A469" t="s">
        <v>801</v>
      </c>
      <c r="B469" t="s">
        <v>334</v>
      </c>
      <c r="C469" t="s">
        <v>44</v>
      </c>
      <c r="D469" t="s">
        <v>15</v>
      </c>
      <c r="E469" t="s">
        <v>154</v>
      </c>
      <c r="F469" t="s">
        <v>25</v>
      </c>
      <c r="G469" t="s">
        <v>40</v>
      </c>
      <c r="H469" t="s">
        <v>41</v>
      </c>
      <c r="I469">
        <v>45621</v>
      </c>
      <c r="J469">
        <v>9</v>
      </c>
      <c r="K469" t="s">
        <v>28</v>
      </c>
      <c r="L469">
        <v>3189.76</v>
      </c>
    </row>
    <row r="470" spans="1:12" x14ac:dyDescent="0.3">
      <c r="A470" t="s">
        <v>802</v>
      </c>
      <c r="B470" t="s">
        <v>803</v>
      </c>
      <c r="C470" t="s">
        <v>31</v>
      </c>
      <c r="D470" t="s">
        <v>15</v>
      </c>
      <c r="E470" t="s">
        <v>16</v>
      </c>
      <c r="F470" t="s">
        <v>46</v>
      </c>
      <c r="G470" t="s">
        <v>94</v>
      </c>
      <c r="H470" t="s">
        <v>95</v>
      </c>
      <c r="I470">
        <v>20838</v>
      </c>
      <c r="J470">
        <v>8</v>
      </c>
      <c r="K470" t="s">
        <v>53</v>
      </c>
      <c r="L470">
        <v>3822.14</v>
      </c>
    </row>
    <row r="471" spans="1:12" x14ac:dyDescent="0.3">
      <c r="A471" t="s">
        <v>804</v>
      </c>
      <c r="B471" t="s">
        <v>99</v>
      </c>
      <c r="C471" t="s">
        <v>66</v>
      </c>
      <c r="D471" t="s">
        <v>38</v>
      </c>
      <c r="E471" t="s">
        <v>39</v>
      </c>
      <c r="F471" t="s">
        <v>17</v>
      </c>
      <c r="G471" t="s">
        <v>76</v>
      </c>
      <c r="H471" t="s">
        <v>77</v>
      </c>
      <c r="I471">
        <v>42147</v>
      </c>
      <c r="J471">
        <v>6</v>
      </c>
      <c r="K471" t="s">
        <v>20</v>
      </c>
      <c r="L471">
        <v>9509.75</v>
      </c>
    </row>
    <row r="472" spans="1:12" x14ac:dyDescent="0.3">
      <c r="A472" t="s">
        <v>805</v>
      </c>
      <c r="B472" t="s">
        <v>264</v>
      </c>
      <c r="C472" t="s">
        <v>72</v>
      </c>
      <c r="D472" t="s">
        <v>23</v>
      </c>
      <c r="E472" t="s">
        <v>82</v>
      </c>
      <c r="F472" t="s">
        <v>46</v>
      </c>
      <c r="G472" t="s">
        <v>94</v>
      </c>
      <c r="H472" t="s">
        <v>95</v>
      </c>
      <c r="I472">
        <v>12519</v>
      </c>
      <c r="J472">
        <v>4</v>
      </c>
      <c r="K472" t="s">
        <v>53</v>
      </c>
      <c r="L472">
        <v>3123.92</v>
      </c>
    </row>
    <row r="473" spans="1:12" x14ac:dyDescent="0.3">
      <c r="A473" t="s">
        <v>806</v>
      </c>
      <c r="B473" t="s">
        <v>487</v>
      </c>
      <c r="C473" t="s">
        <v>63</v>
      </c>
      <c r="D473" t="s">
        <v>32</v>
      </c>
      <c r="E473" t="s">
        <v>45</v>
      </c>
      <c r="F473" t="s">
        <v>25</v>
      </c>
      <c r="G473" t="s">
        <v>57</v>
      </c>
      <c r="H473" t="s">
        <v>58</v>
      </c>
      <c r="I473">
        <v>29946</v>
      </c>
      <c r="J473">
        <v>8</v>
      </c>
      <c r="K473" t="s">
        <v>49</v>
      </c>
      <c r="L473">
        <v>4740.74</v>
      </c>
    </row>
    <row r="474" spans="1:12" x14ac:dyDescent="0.3">
      <c r="A474" t="s">
        <v>807</v>
      </c>
      <c r="B474" t="s">
        <v>230</v>
      </c>
      <c r="C474" t="s">
        <v>66</v>
      </c>
      <c r="D474" t="s">
        <v>38</v>
      </c>
      <c r="E474" t="s">
        <v>39</v>
      </c>
      <c r="F474" t="s">
        <v>46</v>
      </c>
      <c r="G474" t="s">
        <v>87</v>
      </c>
      <c r="H474" t="s">
        <v>88</v>
      </c>
      <c r="I474">
        <v>7492</v>
      </c>
      <c r="J474">
        <v>4</v>
      </c>
      <c r="K474" t="s">
        <v>28</v>
      </c>
      <c r="L474">
        <v>1951.08</v>
      </c>
    </row>
    <row r="475" spans="1:12" x14ac:dyDescent="0.3">
      <c r="A475" t="s">
        <v>808</v>
      </c>
      <c r="B475" t="s">
        <v>809</v>
      </c>
      <c r="C475" t="s">
        <v>63</v>
      </c>
      <c r="D475" t="s">
        <v>15</v>
      </c>
      <c r="E475" t="s">
        <v>154</v>
      </c>
      <c r="F475" t="s">
        <v>17</v>
      </c>
      <c r="G475" t="s">
        <v>18</v>
      </c>
      <c r="H475" t="s">
        <v>19</v>
      </c>
      <c r="I475">
        <v>70322</v>
      </c>
      <c r="J475">
        <v>7</v>
      </c>
      <c r="K475" t="s">
        <v>28</v>
      </c>
      <c r="L475">
        <v>7760.78</v>
      </c>
    </row>
    <row r="476" spans="1:12" x14ac:dyDescent="0.3">
      <c r="A476" t="s">
        <v>810</v>
      </c>
      <c r="B476" t="s">
        <v>176</v>
      </c>
      <c r="C476" t="s">
        <v>14</v>
      </c>
      <c r="D476" t="s">
        <v>38</v>
      </c>
      <c r="E476" t="s">
        <v>39</v>
      </c>
      <c r="F476" t="s">
        <v>25</v>
      </c>
      <c r="G476" t="s">
        <v>26</v>
      </c>
      <c r="H476" t="s">
        <v>27</v>
      </c>
      <c r="I476">
        <v>53520</v>
      </c>
      <c r="J476">
        <v>10</v>
      </c>
      <c r="K476" t="s">
        <v>53</v>
      </c>
      <c r="L476">
        <v>10308.89</v>
      </c>
    </row>
    <row r="477" spans="1:12" x14ac:dyDescent="0.3">
      <c r="A477" t="s">
        <v>811</v>
      </c>
      <c r="B477" t="s">
        <v>182</v>
      </c>
      <c r="C477" t="s">
        <v>31</v>
      </c>
      <c r="D477" t="s">
        <v>32</v>
      </c>
      <c r="E477" t="s">
        <v>33</v>
      </c>
      <c r="F477" t="s">
        <v>17</v>
      </c>
      <c r="G477" t="s">
        <v>104</v>
      </c>
      <c r="H477" t="s">
        <v>105</v>
      </c>
      <c r="I477">
        <v>16318</v>
      </c>
      <c r="J477">
        <v>6</v>
      </c>
      <c r="K477" t="s">
        <v>28</v>
      </c>
      <c r="L477">
        <v>1319.44</v>
      </c>
    </row>
    <row r="478" spans="1:12" x14ac:dyDescent="0.3">
      <c r="A478" t="s">
        <v>812</v>
      </c>
      <c r="B478" t="s">
        <v>559</v>
      </c>
      <c r="C478" t="s">
        <v>66</v>
      </c>
      <c r="D478" t="s">
        <v>38</v>
      </c>
      <c r="E478" t="s">
        <v>67</v>
      </c>
      <c r="F478" t="s">
        <v>25</v>
      </c>
      <c r="G478" t="s">
        <v>57</v>
      </c>
      <c r="H478" t="s">
        <v>58</v>
      </c>
      <c r="I478">
        <v>71982</v>
      </c>
      <c r="J478">
        <v>9</v>
      </c>
      <c r="K478" t="s">
        <v>53</v>
      </c>
      <c r="L478">
        <v>12324.02</v>
      </c>
    </row>
    <row r="479" spans="1:12" x14ac:dyDescent="0.3">
      <c r="A479" t="s">
        <v>813</v>
      </c>
      <c r="B479" t="s">
        <v>308</v>
      </c>
      <c r="C479" t="s">
        <v>37</v>
      </c>
      <c r="D479" t="s">
        <v>38</v>
      </c>
      <c r="E479" t="s">
        <v>52</v>
      </c>
      <c r="F479" t="s">
        <v>46</v>
      </c>
      <c r="G479" t="s">
        <v>87</v>
      </c>
      <c r="H479" t="s">
        <v>88</v>
      </c>
      <c r="I479">
        <v>39301</v>
      </c>
      <c r="J479">
        <v>4</v>
      </c>
      <c r="K479" t="s">
        <v>49</v>
      </c>
      <c r="L479">
        <v>10787.49</v>
      </c>
    </row>
    <row r="480" spans="1:12" x14ac:dyDescent="0.3">
      <c r="A480" t="s">
        <v>814</v>
      </c>
      <c r="B480" t="s">
        <v>815</v>
      </c>
      <c r="C480" t="s">
        <v>14</v>
      </c>
      <c r="D480" t="s">
        <v>38</v>
      </c>
      <c r="E480" t="s">
        <v>67</v>
      </c>
      <c r="F480" t="s">
        <v>17</v>
      </c>
      <c r="G480" t="s">
        <v>104</v>
      </c>
      <c r="H480" t="s">
        <v>105</v>
      </c>
      <c r="I480">
        <v>8061</v>
      </c>
      <c r="J480">
        <v>3</v>
      </c>
      <c r="K480" t="s">
        <v>20</v>
      </c>
      <c r="L480">
        <v>1896.22</v>
      </c>
    </row>
    <row r="481" spans="1:12" x14ac:dyDescent="0.3">
      <c r="A481" t="s">
        <v>816</v>
      </c>
      <c r="B481" t="s">
        <v>817</v>
      </c>
      <c r="C481" t="s">
        <v>72</v>
      </c>
      <c r="D481" t="s">
        <v>15</v>
      </c>
      <c r="E481" t="s">
        <v>154</v>
      </c>
      <c r="F481" t="s">
        <v>17</v>
      </c>
      <c r="G481" t="s">
        <v>76</v>
      </c>
      <c r="H481" t="s">
        <v>77</v>
      </c>
      <c r="I481">
        <v>30593</v>
      </c>
      <c r="J481">
        <v>2</v>
      </c>
      <c r="K481" t="s">
        <v>49</v>
      </c>
      <c r="L481">
        <v>3070.74</v>
      </c>
    </row>
    <row r="482" spans="1:12" x14ac:dyDescent="0.3">
      <c r="A482" t="s">
        <v>818</v>
      </c>
      <c r="B482" t="s">
        <v>712</v>
      </c>
      <c r="C482" t="s">
        <v>72</v>
      </c>
      <c r="D482" t="s">
        <v>23</v>
      </c>
      <c r="E482" t="s">
        <v>24</v>
      </c>
      <c r="F482" t="s">
        <v>46</v>
      </c>
      <c r="G482" t="s">
        <v>94</v>
      </c>
      <c r="H482" t="s">
        <v>95</v>
      </c>
      <c r="I482">
        <v>47524</v>
      </c>
      <c r="J482">
        <v>9</v>
      </c>
      <c r="K482" t="s">
        <v>53</v>
      </c>
      <c r="L482">
        <v>11829.89</v>
      </c>
    </row>
    <row r="483" spans="1:12" x14ac:dyDescent="0.3">
      <c r="A483" t="s">
        <v>819</v>
      </c>
      <c r="B483" t="s">
        <v>719</v>
      </c>
      <c r="C483" t="s">
        <v>66</v>
      </c>
      <c r="D483" t="s">
        <v>38</v>
      </c>
      <c r="E483" t="s">
        <v>52</v>
      </c>
      <c r="F483" t="s">
        <v>46</v>
      </c>
      <c r="G483" t="s">
        <v>94</v>
      </c>
      <c r="H483" t="s">
        <v>95</v>
      </c>
      <c r="I483">
        <v>36055</v>
      </c>
      <c r="J483">
        <v>4</v>
      </c>
      <c r="K483" t="s">
        <v>53</v>
      </c>
      <c r="L483">
        <v>7295.79</v>
      </c>
    </row>
    <row r="484" spans="1:12" x14ac:dyDescent="0.3">
      <c r="A484" t="s">
        <v>820</v>
      </c>
      <c r="B484" t="s">
        <v>103</v>
      </c>
      <c r="C484" t="s">
        <v>44</v>
      </c>
      <c r="D484" t="s">
        <v>23</v>
      </c>
      <c r="E484" t="s">
        <v>82</v>
      </c>
      <c r="F484" t="s">
        <v>25</v>
      </c>
      <c r="G484" t="s">
        <v>26</v>
      </c>
      <c r="H484" t="s">
        <v>27</v>
      </c>
      <c r="I484">
        <v>69401</v>
      </c>
      <c r="J484">
        <v>6</v>
      </c>
      <c r="K484" t="s">
        <v>49</v>
      </c>
      <c r="L484">
        <v>13595.2</v>
      </c>
    </row>
    <row r="485" spans="1:12" x14ac:dyDescent="0.3">
      <c r="A485" t="s">
        <v>821</v>
      </c>
      <c r="B485" t="s">
        <v>158</v>
      </c>
      <c r="C485" t="s">
        <v>31</v>
      </c>
      <c r="D485" t="s">
        <v>23</v>
      </c>
      <c r="E485" t="s">
        <v>82</v>
      </c>
      <c r="F485" t="s">
        <v>17</v>
      </c>
      <c r="G485" t="s">
        <v>18</v>
      </c>
      <c r="H485" t="s">
        <v>19</v>
      </c>
      <c r="I485">
        <v>21083</v>
      </c>
      <c r="J485">
        <v>1</v>
      </c>
      <c r="K485" t="s">
        <v>53</v>
      </c>
      <c r="L485">
        <v>3325.05</v>
      </c>
    </row>
    <row r="486" spans="1:12" x14ac:dyDescent="0.3">
      <c r="A486" t="s">
        <v>822</v>
      </c>
      <c r="B486" t="s">
        <v>620</v>
      </c>
      <c r="C486" t="s">
        <v>31</v>
      </c>
      <c r="D486" t="s">
        <v>32</v>
      </c>
      <c r="E486" t="s">
        <v>45</v>
      </c>
      <c r="F486" t="s">
        <v>25</v>
      </c>
      <c r="G486" t="s">
        <v>57</v>
      </c>
      <c r="H486" t="s">
        <v>58</v>
      </c>
      <c r="I486">
        <v>78737</v>
      </c>
      <c r="J486">
        <v>7</v>
      </c>
      <c r="K486" t="s">
        <v>49</v>
      </c>
      <c r="L486">
        <v>15840.79</v>
      </c>
    </row>
    <row r="487" spans="1:12" x14ac:dyDescent="0.3">
      <c r="A487" t="s">
        <v>823</v>
      </c>
      <c r="B487" t="s">
        <v>824</v>
      </c>
      <c r="C487" t="s">
        <v>72</v>
      </c>
      <c r="D487" t="s">
        <v>23</v>
      </c>
      <c r="E487" t="s">
        <v>24</v>
      </c>
      <c r="F487" t="s">
        <v>46</v>
      </c>
      <c r="G487" t="s">
        <v>94</v>
      </c>
      <c r="H487" t="s">
        <v>95</v>
      </c>
      <c r="I487">
        <v>61094</v>
      </c>
      <c r="J487">
        <v>3</v>
      </c>
      <c r="K487" t="s">
        <v>49</v>
      </c>
      <c r="L487">
        <v>13711.62</v>
      </c>
    </row>
    <row r="488" spans="1:12" x14ac:dyDescent="0.3">
      <c r="A488" t="s">
        <v>825</v>
      </c>
      <c r="B488" t="s">
        <v>577</v>
      </c>
      <c r="C488" t="s">
        <v>56</v>
      </c>
      <c r="D488" t="s">
        <v>15</v>
      </c>
      <c r="E488" t="s">
        <v>154</v>
      </c>
      <c r="F488" t="s">
        <v>46</v>
      </c>
      <c r="G488" t="s">
        <v>94</v>
      </c>
      <c r="H488" t="s">
        <v>95</v>
      </c>
      <c r="I488">
        <v>75311</v>
      </c>
      <c r="J488">
        <v>4</v>
      </c>
      <c r="K488" t="s">
        <v>28</v>
      </c>
      <c r="L488">
        <v>5596.17</v>
      </c>
    </row>
    <row r="489" spans="1:12" x14ac:dyDescent="0.3">
      <c r="A489" t="s">
        <v>826</v>
      </c>
      <c r="B489" t="s">
        <v>295</v>
      </c>
      <c r="C489" t="s">
        <v>14</v>
      </c>
      <c r="D489" t="s">
        <v>15</v>
      </c>
      <c r="E489" t="s">
        <v>73</v>
      </c>
      <c r="F489" t="s">
        <v>46</v>
      </c>
      <c r="G489" t="s">
        <v>87</v>
      </c>
      <c r="H489" t="s">
        <v>88</v>
      </c>
      <c r="I489">
        <v>75776</v>
      </c>
      <c r="J489">
        <v>5</v>
      </c>
      <c r="K489" t="s">
        <v>34</v>
      </c>
      <c r="L489">
        <v>10785.11</v>
      </c>
    </row>
    <row r="490" spans="1:12" x14ac:dyDescent="0.3">
      <c r="A490" t="s">
        <v>827</v>
      </c>
      <c r="B490" t="s">
        <v>828</v>
      </c>
      <c r="C490" t="s">
        <v>63</v>
      </c>
      <c r="D490" t="s">
        <v>38</v>
      </c>
      <c r="E490" t="s">
        <v>67</v>
      </c>
      <c r="F490" t="s">
        <v>17</v>
      </c>
      <c r="G490" t="s">
        <v>18</v>
      </c>
      <c r="H490" t="s">
        <v>19</v>
      </c>
      <c r="I490">
        <v>28692</v>
      </c>
      <c r="J490">
        <v>5</v>
      </c>
      <c r="K490" t="s">
        <v>49</v>
      </c>
      <c r="L490">
        <v>2475.5300000000002</v>
      </c>
    </row>
    <row r="491" spans="1:12" x14ac:dyDescent="0.3">
      <c r="A491" t="s">
        <v>829</v>
      </c>
      <c r="B491" t="s">
        <v>249</v>
      </c>
      <c r="C491" t="s">
        <v>31</v>
      </c>
      <c r="D491" t="s">
        <v>15</v>
      </c>
      <c r="E491" t="s">
        <v>16</v>
      </c>
      <c r="F491" t="s">
        <v>25</v>
      </c>
      <c r="G491" t="s">
        <v>40</v>
      </c>
      <c r="H491" t="s">
        <v>41</v>
      </c>
      <c r="I491">
        <v>7417</v>
      </c>
      <c r="J491">
        <v>4</v>
      </c>
      <c r="K491" t="s">
        <v>20</v>
      </c>
      <c r="L491">
        <v>1241.1500000000001</v>
      </c>
    </row>
    <row r="492" spans="1:12" x14ac:dyDescent="0.3">
      <c r="A492" t="s">
        <v>830</v>
      </c>
      <c r="B492" t="s">
        <v>831</v>
      </c>
      <c r="C492" t="s">
        <v>91</v>
      </c>
      <c r="D492" t="s">
        <v>32</v>
      </c>
      <c r="E492" t="s">
        <v>33</v>
      </c>
      <c r="F492" t="s">
        <v>25</v>
      </c>
      <c r="G492" t="s">
        <v>57</v>
      </c>
      <c r="H492" t="s">
        <v>58</v>
      </c>
      <c r="I492">
        <v>77728</v>
      </c>
      <c r="J492">
        <v>7</v>
      </c>
      <c r="K492" t="s">
        <v>49</v>
      </c>
      <c r="L492">
        <v>8675.18</v>
      </c>
    </row>
    <row r="493" spans="1:12" x14ac:dyDescent="0.3">
      <c r="A493" t="s">
        <v>832</v>
      </c>
      <c r="B493" t="s">
        <v>377</v>
      </c>
      <c r="C493" t="s">
        <v>91</v>
      </c>
      <c r="D493" t="s">
        <v>15</v>
      </c>
      <c r="E493" t="s">
        <v>73</v>
      </c>
      <c r="F493" t="s">
        <v>17</v>
      </c>
      <c r="G493" t="s">
        <v>76</v>
      </c>
      <c r="H493" t="s">
        <v>77</v>
      </c>
      <c r="I493">
        <v>38390</v>
      </c>
      <c r="J493">
        <v>1</v>
      </c>
      <c r="K493" t="s">
        <v>49</v>
      </c>
      <c r="L493">
        <v>6061.36</v>
      </c>
    </row>
    <row r="494" spans="1:12" x14ac:dyDescent="0.3">
      <c r="A494" t="s">
        <v>833</v>
      </c>
      <c r="B494" t="s">
        <v>641</v>
      </c>
      <c r="C494" t="s">
        <v>56</v>
      </c>
      <c r="D494" t="s">
        <v>23</v>
      </c>
      <c r="E494" t="s">
        <v>129</v>
      </c>
      <c r="F494" t="s">
        <v>25</v>
      </c>
      <c r="G494" t="s">
        <v>57</v>
      </c>
      <c r="H494" t="s">
        <v>58</v>
      </c>
      <c r="I494">
        <v>62958</v>
      </c>
      <c r="J494">
        <v>5</v>
      </c>
      <c r="K494" t="s">
        <v>34</v>
      </c>
      <c r="L494">
        <v>15239.82</v>
      </c>
    </row>
    <row r="495" spans="1:12" x14ac:dyDescent="0.3">
      <c r="A495" t="s">
        <v>834</v>
      </c>
      <c r="B495" t="s">
        <v>835</v>
      </c>
      <c r="C495" t="s">
        <v>31</v>
      </c>
      <c r="D495" t="s">
        <v>23</v>
      </c>
      <c r="E495" t="s">
        <v>129</v>
      </c>
      <c r="F495" t="s">
        <v>25</v>
      </c>
      <c r="G495" t="s">
        <v>26</v>
      </c>
      <c r="H495" t="s">
        <v>27</v>
      </c>
      <c r="I495">
        <v>20508</v>
      </c>
      <c r="J495">
        <v>4</v>
      </c>
      <c r="K495" t="s">
        <v>49</v>
      </c>
      <c r="L495">
        <v>3398.08</v>
      </c>
    </row>
    <row r="496" spans="1:12" x14ac:dyDescent="0.3">
      <c r="A496" t="s">
        <v>836</v>
      </c>
      <c r="B496" t="s">
        <v>645</v>
      </c>
      <c r="C496" t="s">
        <v>63</v>
      </c>
      <c r="D496" t="s">
        <v>38</v>
      </c>
      <c r="E496" t="s">
        <v>52</v>
      </c>
      <c r="F496" t="s">
        <v>25</v>
      </c>
      <c r="G496" t="s">
        <v>40</v>
      </c>
      <c r="H496" t="s">
        <v>41</v>
      </c>
      <c r="I496">
        <v>56231</v>
      </c>
      <c r="J496">
        <v>9</v>
      </c>
      <c r="K496" t="s">
        <v>34</v>
      </c>
      <c r="L496">
        <v>12488.82</v>
      </c>
    </row>
    <row r="497" spans="1:12" x14ac:dyDescent="0.3">
      <c r="A497" t="s">
        <v>837</v>
      </c>
      <c r="B497" t="s">
        <v>561</v>
      </c>
      <c r="C497" t="s">
        <v>31</v>
      </c>
      <c r="D497" t="s">
        <v>15</v>
      </c>
      <c r="E497" t="s">
        <v>73</v>
      </c>
      <c r="F497" t="s">
        <v>17</v>
      </c>
      <c r="G497" t="s">
        <v>18</v>
      </c>
      <c r="H497" t="s">
        <v>19</v>
      </c>
      <c r="I497">
        <v>78300</v>
      </c>
      <c r="J497">
        <v>4</v>
      </c>
      <c r="K497" t="s">
        <v>28</v>
      </c>
      <c r="L497">
        <v>17824.96</v>
      </c>
    </row>
    <row r="498" spans="1:12" x14ac:dyDescent="0.3">
      <c r="A498" t="s">
        <v>838</v>
      </c>
      <c r="B498" t="s">
        <v>420</v>
      </c>
      <c r="C498" t="s">
        <v>66</v>
      </c>
      <c r="D498" t="s">
        <v>15</v>
      </c>
      <c r="E498" t="s">
        <v>16</v>
      </c>
      <c r="F498" t="s">
        <v>46</v>
      </c>
      <c r="G498" t="s">
        <v>94</v>
      </c>
      <c r="H498" t="s">
        <v>95</v>
      </c>
      <c r="I498">
        <v>62658</v>
      </c>
      <c r="J498">
        <v>8</v>
      </c>
      <c r="K498" t="s">
        <v>49</v>
      </c>
      <c r="L498">
        <v>7186.98</v>
      </c>
    </row>
    <row r="499" spans="1:12" x14ac:dyDescent="0.3">
      <c r="A499" t="s">
        <v>839</v>
      </c>
      <c r="B499" t="s">
        <v>69</v>
      </c>
      <c r="C499" t="s">
        <v>66</v>
      </c>
      <c r="D499" t="s">
        <v>38</v>
      </c>
      <c r="E499" t="s">
        <v>52</v>
      </c>
      <c r="F499" t="s">
        <v>25</v>
      </c>
      <c r="G499" t="s">
        <v>57</v>
      </c>
      <c r="H499" t="s">
        <v>58</v>
      </c>
      <c r="I499">
        <v>35143</v>
      </c>
      <c r="J499">
        <v>5</v>
      </c>
      <c r="K499" t="s">
        <v>49</v>
      </c>
      <c r="L499">
        <v>4568.49</v>
      </c>
    </row>
    <row r="500" spans="1:12" x14ac:dyDescent="0.3">
      <c r="A500" t="s">
        <v>840</v>
      </c>
      <c r="B500" t="s">
        <v>514</v>
      </c>
      <c r="C500" t="s">
        <v>56</v>
      </c>
      <c r="D500" t="s">
        <v>15</v>
      </c>
      <c r="E500" t="s">
        <v>73</v>
      </c>
      <c r="F500" t="s">
        <v>46</v>
      </c>
      <c r="G500" t="s">
        <v>94</v>
      </c>
      <c r="H500" t="s">
        <v>95</v>
      </c>
      <c r="I500">
        <v>59045</v>
      </c>
      <c r="J500">
        <v>7</v>
      </c>
      <c r="K500" t="s">
        <v>53</v>
      </c>
      <c r="L500">
        <v>7771.73</v>
      </c>
    </row>
    <row r="501" spans="1:12" x14ac:dyDescent="0.3">
      <c r="A501" t="s">
        <v>841</v>
      </c>
      <c r="B501" t="s">
        <v>532</v>
      </c>
      <c r="C501" t="s">
        <v>14</v>
      </c>
      <c r="D501" t="s">
        <v>32</v>
      </c>
      <c r="E501" t="s">
        <v>116</v>
      </c>
      <c r="F501" t="s">
        <v>17</v>
      </c>
      <c r="G501" t="s">
        <v>104</v>
      </c>
      <c r="H501" t="s">
        <v>105</v>
      </c>
      <c r="I501">
        <v>23405</v>
      </c>
      <c r="J501">
        <v>9</v>
      </c>
      <c r="K501" t="s">
        <v>53</v>
      </c>
      <c r="L501">
        <v>3120.77</v>
      </c>
    </row>
    <row r="502" spans="1:12" x14ac:dyDescent="0.3">
      <c r="A502" t="s">
        <v>842</v>
      </c>
      <c r="B502" t="s">
        <v>715</v>
      </c>
      <c r="C502" t="s">
        <v>66</v>
      </c>
      <c r="D502" t="s">
        <v>23</v>
      </c>
      <c r="E502" t="s">
        <v>24</v>
      </c>
      <c r="F502" t="s">
        <v>25</v>
      </c>
      <c r="G502" t="s">
        <v>26</v>
      </c>
      <c r="H502" t="s">
        <v>27</v>
      </c>
      <c r="I502">
        <v>59700</v>
      </c>
      <c r="J502">
        <v>6</v>
      </c>
      <c r="K502" t="s">
        <v>49</v>
      </c>
      <c r="L502">
        <v>11558.52</v>
      </c>
    </row>
    <row r="503" spans="1:12" x14ac:dyDescent="0.3">
      <c r="A503" t="s">
        <v>843</v>
      </c>
      <c r="B503" t="s">
        <v>103</v>
      </c>
      <c r="C503" t="s">
        <v>31</v>
      </c>
      <c r="D503" t="s">
        <v>15</v>
      </c>
      <c r="E503" t="s">
        <v>154</v>
      </c>
      <c r="F503" t="s">
        <v>25</v>
      </c>
      <c r="G503" t="s">
        <v>40</v>
      </c>
      <c r="H503" t="s">
        <v>41</v>
      </c>
      <c r="I503">
        <v>76658</v>
      </c>
      <c r="J503">
        <v>5</v>
      </c>
      <c r="K503" t="s">
        <v>53</v>
      </c>
      <c r="L503">
        <v>13853.8</v>
      </c>
    </row>
    <row r="504" spans="1:12" x14ac:dyDescent="0.3">
      <c r="A504" t="s">
        <v>844</v>
      </c>
      <c r="B504" t="s">
        <v>312</v>
      </c>
      <c r="C504" t="s">
        <v>63</v>
      </c>
      <c r="D504" t="s">
        <v>15</v>
      </c>
      <c r="E504" t="s">
        <v>154</v>
      </c>
      <c r="F504" t="s">
        <v>17</v>
      </c>
      <c r="G504" t="s">
        <v>104</v>
      </c>
      <c r="H504" t="s">
        <v>105</v>
      </c>
      <c r="I504">
        <v>18011</v>
      </c>
      <c r="J504">
        <v>2</v>
      </c>
      <c r="K504" t="s">
        <v>28</v>
      </c>
      <c r="L504">
        <v>1282</v>
      </c>
    </row>
    <row r="505" spans="1:12" x14ac:dyDescent="0.3">
      <c r="A505" t="s">
        <v>845</v>
      </c>
      <c r="B505" t="s">
        <v>661</v>
      </c>
      <c r="C505" t="s">
        <v>56</v>
      </c>
      <c r="D505" t="s">
        <v>38</v>
      </c>
      <c r="E505" t="s">
        <v>67</v>
      </c>
      <c r="F505" t="s">
        <v>17</v>
      </c>
      <c r="G505" t="s">
        <v>104</v>
      </c>
      <c r="H505" t="s">
        <v>105</v>
      </c>
      <c r="I505">
        <v>58728</v>
      </c>
      <c r="J505">
        <v>1</v>
      </c>
      <c r="K505" t="s">
        <v>20</v>
      </c>
      <c r="L505">
        <v>8910.57</v>
      </c>
    </row>
    <row r="506" spans="1:12" x14ac:dyDescent="0.3">
      <c r="A506" t="s">
        <v>846</v>
      </c>
      <c r="B506" t="s">
        <v>847</v>
      </c>
      <c r="C506" t="s">
        <v>72</v>
      </c>
      <c r="D506" t="s">
        <v>15</v>
      </c>
      <c r="E506" t="s">
        <v>16</v>
      </c>
      <c r="F506" t="s">
        <v>25</v>
      </c>
      <c r="G506" t="s">
        <v>57</v>
      </c>
      <c r="H506" t="s">
        <v>58</v>
      </c>
      <c r="I506">
        <v>68274</v>
      </c>
      <c r="J506">
        <v>9</v>
      </c>
      <c r="K506" t="s">
        <v>34</v>
      </c>
      <c r="L506">
        <v>15552.39</v>
      </c>
    </row>
    <row r="507" spans="1:12" x14ac:dyDescent="0.3">
      <c r="A507" t="s">
        <v>848</v>
      </c>
      <c r="B507" t="s">
        <v>381</v>
      </c>
      <c r="C507" t="s">
        <v>72</v>
      </c>
      <c r="D507" t="s">
        <v>32</v>
      </c>
      <c r="E507" t="s">
        <v>116</v>
      </c>
      <c r="F507" t="s">
        <v>46</v>
      </c>
      <c r="G507" t="s">
        <v>87</v>
      </c>
      <c r="H507" t="s">
        <v>88</v>
      </c>
      <c r="I507">
        <v>77386</v>
      </c>
      <c r="J507">
        <v>1</v>
      </c>
      <c r="K507" t="s">
        <v>34</v>
      </c>
      <c r="L507">
        <v>8808.32</v>
      </c>
    </row>
    <row r="508" spans="1:12" x14ac:dyDescent="0.3">
      <c r="A508" t="s">
        <v>849</v>
      </c>
      <c r="B508" t="s">
        <v>831</v>
      </c>
      <c r="C508" t="s">
        <v>37</v>
      </c>
      <c r="D508" t="s">
        <v>15</v>
      </c>
      <c r="E508" t="s">
        <v>73</v>
      </c>
      <c r="F508" t="s">
        <v>46</v>
      </c>
      <c r="G508" t="s">
        <v>94</v>
      </c>
      <c r="H508" t="s">
        <v>95</v>
      </c>
      <c r="I508">
        <v>9437</v>
      </c>
      <c r="J508">
        <v>9</v>
      </c>
      <c r="K508" t="s">
        <v>20</v>
      </c>
      <c r="L508">
        <v>2392.6799999999998</v>
      </c>
    </row>
    <row r="509" spans="1:12" x14ac:dyDescent="0.3">
      <c r="A509" t="s">
        <v>850</v>
      </c>
      <c r="B509" t="s">
        <v>375</v>
      </c>
      <c r="C509" t="s">
        <v>66</v>
      </c>
      <c r="D509" t="s">
        <v>32</v>
      </c>
      <c r="E509" t="s">
        <v>45</v>
      </c>
      <c r="F509" t="s">
        <v>17</v>
      </c>
      <c r="G509" t="s">
        <v>104</v>
      </c>
      <c r="H509" t="s">
        <v>105</v>
      </c>
      <c r="I509">
        <v>23188</v>
      </c>
      <c r="J509">
        <v>2</v>
      </c>
      <c r="K509" t="s">
        <v>53</v>
      </c>
      <c r="L509">
        <v>2222.0300000000002</v>
      </c>
    </row>
    <row r="510" spans="1:12" x14ac:dyDescent="0.3">
      <c r="A510" t="s">
        <v>851</v>
      </c>
      <c r="B510" t="s">
        <v>387</v>
      </c>
      <c r="C510" t="s">
        <v>66</v>
      </c>
      <c r="D510" t="s">
        <v>15</v>
      </c>
      <c r="E510" t="s">
        <v>16</v>
      </c>
      <c r="F510" t="s">
        <v>46</v>
      </c>
      <c r="G510" t="s">
        <v>47</v>
      </c>
      <c r="H510" t="s">
        <v>48</v>
      </c>
      <c r="I510">
        <v>9564</v>
      </c>
      <c r="J510">
        <v>9</v>
      </c>
      <c r="K510" t="s">
        <v>53</v>
      </c>
      <c r="L510">
        <v>2335.0700000000002</v>
      </c>
    </row>
    <row r="511" spans="1:12" x14ac:dyDescent="0.3">
      <c r="A511" t="s">
        <v>852</v>
      </c>
      <c r="B511" t="s">
        <v>90</v>
      </c>
      <c r="C511" t="s">
        <v>37</v>
      </c>
      <c r="D511" t="s">
        <v>32</v>
      </c>
      <c r="E511" t="s">
        <v>33</v>
      </c>
      <c r="F511" t="s">
        <v>17</v>
      </c>
      <c r="G511" t="s">
        <v>104</v>
      </c>
      <c r="H511" t="s">
        <v>105</v>
      </c>
      <c r="I511">
        <v>52161</v>
      </c>
      <c r="J511">
        <v>10</v>
      </c>
      <c r="K511" t="s">
        <v>20</v>
      </c>
      <c r="L511">
        <v>7952.53</v>
      </c>
    </row>
    <row r="512" spans="1:12" x14ac:dyDescent="0.3">
      <c r="A512" t="s">
        <v>853</v>
      </c>
      <c r="B512" t="s">
        <v>854</v>
      </c>
      <c r="C512" t="s">
        <v>91</v>
      </c>
      <c r="D512" t="s">
        <v>38</v>
      </c>
      <c r="E512" t="s">
        <v>67</v>
      </c>
      <c r="F512" t="s">
        <v>17</v>
      </c>
      <c r="G512" t="s">
        <v>76</v>
      </c>
      <c r="H512" t="s">
        <v>77</v>
      </c>
      <c r="I512">
        <v>66811</v>
      </c>
      <c r="J512">
        <v>8</v>
      </c>
      <c r="K512" t="s">
        <v>53</v>
      </c>
      <c r="L512">
        <v>6716.73</v>
      </c>
    </row>
    <row r="513" spans="1:12" x14ac:dyDescent="0.3">
      <c r="A513" t="s">
        <v>855</v>
      </c>
      <c r="B513" t="s">
        <v>803</v>
      </c>
      <c r="C513" t="s">
        <v>14</v>
      </c>
      <c r="D513" t="s">
        <v>32</v>
      </c>
      <c r="E513" t="s">
        <v>33</v>
      </c>
      <c r="F513" t="s">
        <v>46</v>
      </c>
      <c r="G513" t="s">
        <v>47</v>
      </c>
      <c r="H513" t="s">
        <v>48</v>
      </c>
      <c r="I513">
        <v>5621</v>
      </c>
      <c r="J513">
        <v>6</v>
      </c>
      <c r="K513" t="s">
        <v>28</v>
      </c>
      <c r="L513">
        <v>545.17999999999995</v>
      </c>
    </row>
    <row r="514" spans="1:12" x14ac:dyDescent="0.3">
      <c r="A514" t="s">
        <v>856</v>
      </c>
      <c r="B514" t="s">
        <v>260</v>
      </c>
      <c r="C514" t="s">
        <v>121</v>
      </c>
      <c r="D514" t="s">
        <v>15</v>
      </c>
      <c r="E514" t="s">
        <v>154</v>
      </c>
      <c r="F514" t="s">
        <v>17</v>
      </c>
      <c r="G514" t="s">
        <v>76</v>
      </c>
      <c r="H514" t="s">
        <v>77</v>
      </c>
      <c r="I514">
        <v>26810</v>
      </c>
      <c r="J514">
        <v>1</v>
      </c>
      <c r="K514" t="s">
        <v>28</v>
      </c>
      <c r="L514">
        <v>3631.34</v>
      </c>
    </row>
    <row r="515" spans="1:12" x14ac:dyDescent="0.3">
      <c r="A515" t="s">
        <v>857</v>
      </c>
      <c r="B515" t="s">
        <v>348</v>
      </c>
      <c r="C515" t="s">
        <v>37</v>
      </c>
      <c r="D515" t="s">
        <v>32</v>
      </c>
      <c r="E515" t="s">
        <v>33</v>
      </c>
      <c r="F515" t="s">
        <v>17</v>
      </c>
      <c r="G515" t="s">
        <v>104</v>
      </c>
      <c r="H515" t="s">
        <v>105</v>
      </c>
      <c r="I515">
        <v>41363</v>
      </c>
      <c r="J515">
        <v>7</v>
      </c>
      <c r="K515" t="s">
        <v>20</v>
      </c>
      <c r="L515">
        <v>5605.12</v>
      </c>
    </row>
    <row r="516" spans="1:12" x14ac:dyDescent="0.3">
      <c r="A516" t="s">
        <v>858</v>
      </c>
      <c r="B516" t="s">
        <v>131</v>
      </c>
      <c r="C516" t="s">
        <v>72</v>
      </c>
      <c r="D516" t="s">
        <v>38</v>
      </c>
      <c r="E516" t="s">
        <v>52</v>
      </c>
      <c r="F516" t="s">
        <v>25</v>
      </c>
      <c r="G516" t="s">
        <v>26</v>
      </c>
      <c r="H516" t="s">
        <v>27</v>
      </c>
      <c r="I516">
        <v>32313</v>
      </c>
      <c r="J516">
        <v>5</v>
      </c>
      <c r="K516" t="s">
        <v>34</v>
      </c>
      <c r="L516">
        <v>5659.93</v>
      </c>
    </row>
    <row r="517" spans="1:12" x14ac:dyDescent="0.3">
      <c r="A517" t="s">
        <v>859</v>
      </c>
      <c r="B517" t="s">
        <v>365</v>
      </c>
      <c r="C517" t="s">
        <v>31</v>
      </c>
      <c r="D517" t="s">
        <v>15</v>
      </c>
      <c r="E517" t="s">
        <v>154</v>
      </c>
      <c r="F517" t="s">
        <v>17</v>
      </c>
      <c r="G517" t="s">
        <v>104</v>
      </c>
      <c r="H517" t="s">
        <v>105</v>
      </c>
      <c r="I517">
        <v>34207</v>
      </c>
      <c r="J517">
        <v>5</v>
      </c>
      <c r="K517" t="s">
        <v>53</v>
      </c>
      <c r="L517">
        <v>7308.82</v>
      </c>
    </row>
    <row r="518" spans="1:12" x14ac:dyDescent="0.3">
      <c r="A518" t="s">
        <v>860</v>
      </c>
      <c r="B518" t="s">
        <v>745</v>
      </c>
      <c r="C518" t="s">
        <v>31</v>
      </c>
      <c r="D518" t="s">
        <v>38</v>
      </c>
      <c r="E518" t="s">
        <v>67</v>
      </c>
      <c r="F518" t="s">
        <v>17</v>
      </c>
      <c r="G518" t="s">
        <v>104</v>
      </c>
      <c r="H518" t="s">
        <v>105</v>
      </c>
      <c r="I518">
        <v>18973</v>
      </c>
      <c r="J518">
        <v>4</v>
      </c>
      <c r="K518" t="s">
        <v>28</v>
      </c>
      <c r="L518">
        <v>3879.37</v>
      </c>
    </row>
    <row r="519" spans="1:12" x14ac:dyDescent="0.3">
      <c r="A519" t="s">
        <v>861</v>
      </c>
      <c r="B519" t="s">
        <v>224</v>
      </c>
      <c r="C519" t="s">
        <v>56</v>
      </c>
      <c r="D519" t="s">
        <v>15</v>
      </c>
      <c r="E519" t="s">
        <v>16</v>
      </c>
      <c r="F519" t="s">
        <v>46</v>
      </c>
      <c r="G519" t="s">
        <v>94</v>
      </c>
      <c r="H519" t="s">
        <v>95</v>
      </c>
      <c r="I519">
        <v>54663</v>
      </c>
      <c r="J519">
        <v>7</v>
      </c>
      <c r="K519" t="s">
        <v>49</v>
      </c>
      <c r="L519">
        <v>6954.31</v>
      </c>
    </row>
    <row r="520" spans="1:12" x14ac:dyDescent="0.3">
      <c r="A520" t="s">
        <v>862</v>
      </c>
      <c r="B520" t="s">
        <v>863</v>
      </c>
      <c r="C520" t="s">
        <v>56</v>
      </c>
      <c r="D520" t="s">
        <v>38</v>
      </c>
      <c r="E520" t="s">
        <v>52</v>
      </c>
      <c r="F520" t="s">
        <v>25</v>
      </c>
      <c r="G520" t="s">
        <v>26</v>
      </c>
      <c r="H520" t="s">
        <v>27</v>
      </c>
      <c r="I520">
        <v>15445</v>
      </c>
      <c r="J520">
        <v>5</v>
      </c>
      <c r="K520" t="s">
        <v>20</v>
      </c>
      <c r="L520">
        <v>2690.86</v>
      </c>
    </row>
    <row r="521" spans="1:12" x14ac:dyDescent="0.3">
      <c r="A521" t="s">
        <v>864</v>
      </c>
      <c r="B521" t="s">
        <v>512</v>
      </c>
      <c r="C521" t="s">
        <v>44</v>
      </c>
      <c r="D521" t="s">
        <v>38</v>
      </c>
      <c r="E521" t="s">
        <v>52</v>
      </c>
      <c r="F521" t="s">
        <v>25</v>
      </c>
      <c r="G521" t="s">
        <v>40</v>
      </c>
      <c r="H521" t="s">
        <v>41</v>
      </c>
      <c r="I521">
        <v>63138</v>
      </c>
      <c r="J521">
        <v>6</v>
      </c>
      <c r="K521" t="s">
        <v>49</v>
      </c>
      <c r="L521">
        <v>14183.45</v>
      </c>
    </row>
    <row r="522" spans="1:12" x14ac:dyDescent="0.3">
      <c r="A522" t="s">
        <v>865</v>
      </c>
      <c r="B522" t="s">
        <v>174</v>
      </c>
      <c r="C522" t="s">
        <v>37</v>
      </c>
      <c r="D522" t="s">
        <v>15</v>
      </c>
      <c r="E522" t="s">
        <v>73</v>
      </c>
      <c r="F522" t="s">
        <v>46</v>
      </c>
      <c r="G522" t="s">
        <v>87</v>
      </c>
      <c r="H522" t="s">
        <v>88</v>
      </c>
      <c r="I522">
        <v>48737</v>
      </c>
      <c r="J522">
        <v>10</v>
      </c>
      <c r="K522" t="s">
        <v>28</v>
      </c>
      <c r="L522">
        <v>3515.81</v>
      </c>
    </row>
    <row r="523" spans="1:12" x14ac:dyDescent="0.3">
      <c r="A523" t="s">
        <v>866</v>
      </c>
      <c r="B523" t="s">
        <v>867</v>
      </c>
      <c r="C523" t="s">
        <v>56</v>
      </c>
      <c r="D523" t="s">
        <v>15</v>
      </c>
      <c r="E523" t="s">
        <v>154</v>
      </c>
      <c r="F523" t="s">
        <v>46</v>
      </c>
      <c r="G523" t="s">
        <v>94</v>
      </c>
      <c r="H523" t="s">
        <v>95</v>
      </c>
      <c r="I523">
        <v>68442</v>
      </c>
      <c r="J523">
        <v>9</v>
      </c>
      <c r="K523" t="s">
        <v>20</v>
      </c>
      <c r="L523">
        <v>17149.310000000001</v>
      </c>
    </row>
    <row r="524" spans="1:12" x14ac:dyDescent="0.3">
      <c r="A524" t="s">
        <v>868</v>
      </c>
      <c r="B524" t="s">
        <v>123</v>
      </c>
      <c r="C524" t="s">
        <v>44</v>
      </c>
      <c r="D524" t="s">
        <v>23</v>
      </c>
      <c r="E524" t="s">
        <v>82</v>
      </c>
      <c r="F524" t="s">
        <v>17</v>
      </c>
      <c r="G524" t="s">
        <v>18</v>
      </c>
      <c r="H524" t="s">
        <v>19</v>
      </c>
      <c r="I524">
        <v>43201</v>
      </c>
      <c r="J524">
        <v>3</v>
      </c>
      <c r="K524" t="s">
        <v>20</v>
      </c>
      <c r="L524">
        <v>5272.8</v>
      </c>
    </row>
    <row r="525" spans="1:12" x14ac:dyDescent="0.3">
      <c r="A525" t="s">
        <v>869</v>
      </c>
      <c r="B525" t="s">
        <v>606</v>
      </c>
      <c r="C525" t="s">
        <v>56</v>
      </c>
      <c r="D525" t="s">
        <v>38</v>
      </c>
      <c r="E525" t="s">
        <v>52</v>
      </c>
      <c r="F525" t="s">
        <v>46</v>
      </c>
      <c r="G525" t="s">
        <v>94</v>
      </c>
      <c r="H525" t="s">
        <v>95</v>
      </c>
      <c r="I525">
        <v>79734</v>
      </c>
      <c r="J525">
        <v>5</v>
      </c>
      <c r="K525" t="s">
        <v>20</v>
      </c>
      <c r="L525">
        <v>18129.27</v>
      </c>
    </row>
    <row r="526" spans="1:12" x14ac:dyDescent="0.3">
      <c r="A526" t="s">
        <v>870</v>
      </c>
      <c r="B526" t="s">
        <v>523</v>
      </c>
      <c r="C526" t="s">
        <v>66</v>
      </c>
      <c r="D526" t="s">
        <v>38</v>
      </c>
      <c r="E526" t="s">
        <v>52</v>
      </c>
      <c r="F526" t="s">
        <v>46</v>
      </c>
      <c r="G526" t="s">
        <v>47</v>
      </c>
      <c r="H526" t="s">
        <v>48</v>
      </c>
      <c r="I526">
        <v>26895</v>
      </c>
      <c r="J526">
        <v>7</v>
      </c>
      <c r="K526" t="s">
        <v>20</v>
      </c>
      <c r="L526">
        <v>3969.34</v>
      </c>
    </row>
    <row r="527" spans="1:12" x14ac:dyDescent="0.3">
      <c r="A527" t="s">
        <v>871</v>
      </c>
      <c r="B527" t="s">
        <v>465</v>
      </c>
      <c r="C527" t="s">
        <v>66</v>
      </c>
      <c r="D527" t="s">
        <v>38</v>
      </c>
      <c r="E527" t="s">
        <v>39</v>
      </c>
      <c r="F527" t="s">
        <v>25</v>
      </c>
      <c r="G527" t="s">
        <v>26</v>
      </c>
      <c r="H527" t="s">
        <v>27</v>
      </c>
      <c r="I527">
        <v>78224</v>
      </c>
      <c r="J527">
        <v>6</v>
      </c>
      <c r="K527" t="s">
        <v>53</v>
      </c>
      <c r="L527">
        <v>13544.37</v>
      </c>
    </row>
    <row r="528" spans="1:12" x14ac:dyDescent="0.3">
      <c r="A528" t="s">
        <v>872</v>
      </c>
      <c r="B528" t="s">
        <v>249</v>
      </c>
      <c r="C528" t="s">
        <v>72</v>
      </c>
      <c r="D528" t="s">
        <v>38</v>
      </c>
      <c r="E528" t="s">
        <v>39</v>
      </c>
      <c r="F528" t="s">
        <v>17</v>
      </c>
      <c r="G528" t="s">
        <v>104</v>
      </c>
      <c r="H528" t="s">
        <v>105</v>
      </c>
      <c r="I528">
        <v>31873</v>
      </c>
      <c r="J528">
        <v>6</v>
      </c>
      <c r="K528" t="s">
        <v>53</v>
      </c>
      <c r="L528">
        <v>2274.0300000000002</v>
      </c>
    </row>
    <row r="529" spans="1:12" x14ac:dyDescent="0.3">
      <c r="A529" t="s">
        <v>873</v>
      </c>
      <c r="B529" t="s">
        <v>151</v>
      </c>
      <c r="C529" t="s">
        <v>31</v>
      </c>
      <c r="D529" t="s">
        <v>23</v>
      </c>
      <c r="E529" t="s">
        <v>24</v>
      </c>
      <c r="F529" t="s">
        <v>17</v>
      </c>
      <c r="G529" t="s">
        <v>104</v>
      </c>
      <c r="H529" t="s">
        <v>105</v>
      </c>
      <c r="I529">
        <v>4028</v>
      </c>
      <c r="J529">
        <v>4</v>
      </c>
      <c r="K529" t="s">
        <v>28</v>
      </c>
      <c r="L529">
        <v>979.6</v>
      </c>
    </row>
    <row r="530" spans="1:12" x14ac:dyDescent="0.3">
      <c r="A530" t="s">
        <v>874</v>
      </c>
      <c r="B530" t="s">
        <v>437</v>
      </c>
      <c r="C530" t="s">
        <v>66</v>
      </c>
      <c r="D530" t="s">
        <v>32</v>
      </c>
      <c r="E530" t="s">
        <v>45</v>
      </c>
      <c r="F530" t="s">
        <v>17</v>
      </c>
      <c r="G530" t="s">
        <v>18</v>
      </c>
      <c r="H530" t="s">
        <v>19</v>
      </c>
      <c r="I530">
        <v>45166</v>
      </c>
      <c r="J530">
        <v>10</v>
      </c>
      <c r="K530" t="s">
        <v>28</v>
      </c>
      <c r="L530">
        <v>8526.68</v>
      </c>
    </row>
    <row r="531" spans="1:12" x14ac:dyDescent="0.3">
      <c r="A531" t="s">
        <v>875</v>
      </c>
      <c r="B531" t="s">
        <v>153</v>
      </c>
      <c r="C531" t="s">
        <v>44</v>
      </c>
      <c r="D531" t="s">
        <v>32</v>
      </c>
      <c r="E531" t="s">
        <v>33</v>
      </c>
      <c r="F531" t="s">
        <v>25</v>
      </c>
      <c r="G531" t="s">
        <v>40</v>
      </c>
      <c r="H531" t="s">
        <v>41</v>
      </c>
      <c r="I531">
        <v>64666</v>
      </c>
      <c r="J531">
        <v>7</v>
      </c>
      <c r="K531" t="s">
        <v>49</v>
      </c>
      <c r="L531">
        <v>10158.49</v>
      </c>
    </row>
    <row r="532" spans="1:12" x14ac:dyDescent="0.3">
      <c r="A532" t="s">
        <v>876</v>
      </c>
      <c r="B532" t="s">
        <v>835</v>
      </c>
      <c r="C532" t="s">
        <v>63</v>
      </c>
      <c r="D532" t="s">
        <v>23</v>
      </c>
      <c r="E532" t="s">
        <v>129</v>
      </c>
      <c r="F532" t="s">
        <v>25</v>
      </c>
      <c r="G532" t="s">
        <v>26</v>
      </c>
      <c r="H532" t="s">
        <v>27</v>
      </c>
      <c r="I532">
        <v>52707</v>
      </c>
      <c r="J532">
        <v>6</v>
      </c>
      <c r="K532" t="s">
        <v>28</v>
      </c>
      <c r="L532">
        <v>10175.200000000001</v>
      </c>
    </row>
    <row r="533" spans="1:12" x14ac:dyDescent="0.3">
      <c r="A533" t="s">
        <v>877</v>
      </c>
      <c r="B533" t="s">
        <v>345</v>
      </c>
      <c r="C533" t="s">
        <v>44</v>
      </c>
      <c r="D533" t="s">
        <v>32</v>
      </c>
      <c r="E533" t="s">
        <v>116</v>
      </c>
      <c r="F533" t="s">
        <v>17</v>
      </c>
      <c r="G533" t="s">
        <v>104</v>
      </c>
      <c r="H533" t="s">
        <v>105</v>
      </c>
      <c r="I533">
        <v>20824</v>
      </c>
      <c r="J533">
        <v>9</v>
      </c>
      <c r="K533" t="s">
        <v>53</v>
      </c>
      <c r="L533">
        <v>1805.62</v>
      </c>
    </row>
    <row r="534" spans="1:12" x14ac:dyDescent="0.3">
      <c r="A534" t="s">
        <v>878</v>
      </c>
      <c r="B534" t="s">
        <v>495</v>
      </c>
      <c r="C534" t="s">
        <v>44</v>
      </c>
      <c r="D534" t="s">
        <v>15</v>
      </c>
      <c r="E534" t="s">
        <v>73</v>
      </c>
      <c r="F534" t="s">
        <v>17</v>
      </c>
      <c r="G534" t="s">
        <v>76</v>
      </c>
      <c r="H534" t="s">
        <v>77</v>
      </c>
      <c r="I534">
        <v>28788</v>
      </c>
      <c r="J534">
        <v>4</v>
      </c>
      <c r="K534" t="s">
        <v>49</v>
      </c>
      <c r="L534">
        <v>4045.7</v>
      </c>
    </row>
    <row r="535" spans="1:12" x14ac:dyDescent="0.3">
      <c r="A535" t="s">
        <v>879</v>
      </c>
      <c r="B535" t="s">
        <v>79</v>
      </c>
      <c r="C535" t="s">
        <v>44</v>
      </c>
      <c r="D535" t="s">
        <v>23</v>
      </c>
      <c r="E535" t="s">
        <v>24</v>
      </c>
      <c r="F535" t="s">
        <v>46</v>
      </c>
      <c r="G535" t="s">
        <v>94</v>
      </c>
      <c r="H535" t="s">
        <v>95</v>
      </c>
      <c r="I535">
        <v>75947</v>
      </c>
      <c r="J535">
        <v>10</v>
      </c>
      <c r="K535" t="s">
        <v>20</v>
      </c>
      <c r="L535">
        <v>11663.55</v>
      </c>
    </row>
    <row r="536" spans="1:12" x14ac:dyDescent="0.3">
      <c r="A536" t="s">
        <v>880</v>
      </c>
      <c r="B536" t="s">
        <v>151</v>
      </c>
      <c r="C536" t="s">
        <v>14</v>
      </c>
      <c r="D536" t="s">
        <v>15</v>
      </c>
      <c r="E536" t="s">
        <v>16</v>
      </c>
      <c r="F536" t="s">
        <v>17</v>
      </c>
      <c r="G536" t="s">
        <v>76</v>
      </c>
      <c r="H536" t="s">
        <v>77</v>
      </c>
      <c r="I536">
        <v>51390</v>
      </c>
      <c r="J536">
        <v>10</v>
      </c>
      <c r="K536" t="s">
        <v>28</v>
      </c>
      <c r="L536">
        <v>13599.94</v>
      </c>
    </row>
    <row r="537" spans="1:12" x14ac:dyDescent="0.3">
      <c r="A537" t="s">
        <v>881</v>
      </c>
      <c r="B537" t="s">
        <v>147</v>
      </c>
      <c r="C537" t="s">
        <v>72</v>
      </c>
      <c r="D537" t="s">
        <v>32</v>
      </c>
      <c r="E537" t="s">
        <v>33</v>
      </c>
      <c r="F537" t="s">
        <v>17</v>
      </c>
      <c r="G537" t="s">
        <v>104</v>
      </c>
      <c r="H537" t="s">
        <v>105</v>
      </c>
      <c r="I537">
        <v>40430</v>
      </c>
      <c r="J537">
        <v>1</v>
      </c>
      <c r="K537" t="s">
        <v>28</v>
      </c>
      <c r="L537">
        <v>8402.76</v>
      </c>
    </row>
    <row r="538" spans="1:12" x14ac:dyDescent="0.3">
      <c r="A538" t="s">
        <v>882</v>
      </c>
      <c r="B538" t="s">
        <v>792</v>
      </c>
      <c r="C538" t="s">
        <v>44</v>
      </c>
      <c r="D538" t="s">
        <v>32</v>
      </c>
      <c r="E538" t="s">
        <v>33</v>
      </c>
      <c r="F538" t="s">
        <v>46</v>
      </c>
      <c r="G538" t="s">
        <v>47</v>
      </c>
      <c r="H538" t="s">
        <v>48</v>
      </c>
      <c r="I538">
        <v>26833</v>
      </c>
      <c r="J538">
        <v>8</v>
      </c>
      <c r="K538" t="s">
        <v>49</v>
      </c>
      <c r="L538">
        <v>5147.4399999999996</v>
      </c>
    </row>
    <row r="539" spans="1:12" x14ac:dyDescent="0.3">
      <c r="A539" t="s">
        <v>883</v>
      </c>
      <c r="B539" t="s">
        <v>884</v>
      </c>
      <c r="C539" t="s">
        <v>63</v>
      </c>
      <c r="D539" t="s">
        <v>23</v>
      </c>
      <c r="E539" t="s">
        <v>129</v>
      </c>
      <c r="F539" t="s">
        <v>46</v>
      </c>
      <c r="G539" t="s">
        <v>94</v>
      </c>
      <c r="H539" t="s">
        <v>95</v>
      </c>
      <c r="I539">
        <v>79185</v>
      </c>
      <c r="J539">
        <v>5</v>
      </c>
      <c r="K539" t="s">
        <v>53</v>
      </c>
      <c r="L539">
        <v>9566.93</v>
      </c>
    </row>
    <row r="540" spans="1:12" x14ac:dyDescent="0.3">
      <c r="A540" t="s">
        <v>885</v>
      </c>
      <c r="B540" t="s">
        <v>886</v>
      </c>
      <c r="C540" t="s">
        <v>121</v>
      </c>
      <c r="D540" t="s">
        <v>15</v>
      </c>
      <c r="E540" t="s">
        <v>73</v>
      </c>
      <c r="F540" t="s">
        <v>46</v>
      </c>
      <c r="G540" t="s">
        <v>87</v>
      </c>
      <c r="H540" t="s">
        <v>88</v>
      </c>
      <c r="I540">
        <v>30249</v>
      </c>
      <c r="J540">
        <v>2</v>
      </c>
      <c r="K540" t="s">
        <v>20</v>
      </c>
      <c r="L540">
        <v>8343.1299999999992</v>
      </c>
    </row>
    <row r="541" spans="1:12" x14ac:dyDescent="0.3">
      <c r="A541" t="s">
        <v>887</v>
      </c>
      <c r="B541" t="s">
        <v>795</v>
      </c>
      <c r="C541" t="s">
        <v>44</v>
      </c>
      <c r="D541" t="s">
        <v>15</v>
      </c>
      <c r="E541" t="s">
        <v>16</v>
      </c>
      <c r="F541" t="s">
        <v>46</v>
      </c>
      <c r="G541" t="s">
        <v>47</v>
      </c>
      <c r="H541" t="s">
        <v>48</v>
      </c>
      <c r="I541">
        <v>54609</v>
      </c>
      <c r="J541">
        <v>6</v>
      </c>
      <c r="K541" t="s">
        <v>53</v>
      </c>
      <c r="L541">
        <v>6189.62</v>
      </c>
    </row>
    <row r="542" spans="1:12" x14ac:dyDescent="0.3">
      <c r="A542" t="s">
        <v>888</v>
      </c>
      <c r="B542" t="s">
        <v>69</v>
      </c>
      <c r="C542" t="s">
        <v>14</v>
      </c>
      <c r="D542" t="s">
        <v>32</v>
      </c>
      <c r="E542" t="s">
        <v>45</v>
      </c>
      <c r="F542" t="s">
        <v>25</v>
      </c>
      <c r="G542" t="s">
        <v>40</v>
      </c>
      <c r="H542" t="s">
        <v>41</v>
      </c>
      <c r="I542">
        <v>4505</v>
      </c>
      <c r="J542">
        <v>4</v>
      </c>
      <c r="K542" t="s">
        <v>28</v>
      </c>
      <c r="L542">
        <v>699.03</v>
      </c>
    </row>
    <row r="543" spans="1:12" x14ac:dyDescent="0.3">
      <c r="A543" t="s">
        <v>889</v>
      </c>
      <c r="B543" t="s">
        <v>238</v>
      </c>
      <c r="C543" t="s">
        <v>14</v>
      </c>
      <c r="D543" t="s">
        <v>38</v>
      </c>
      <c r="E543" t="s">
        <v>52</v>
      </c>
      <c r="F543" t="s">
        <v>46</v>
      </c>
      <c r="G543" t="s">
        <v>87</v>
      </c>
      <c r="H543" t="s">
        <v>88</v>
      </c>
      <c r="I543">
        <v>36373</v>
      </c>
      <c r="J543">
        <v>7</v>
      </c>
      <c r="K543" t="s">
        <v>20</v>
      </c>
      <c r="L543">
        <v>5092.25</v>
      </c>
    </row>
    <row r="544" spans="1:12" x14ac:dyDescent="0.3">
      <c r="A544" t="s">
        <v>890</v>
      </c>
      <c r="B544" t="s">
        <v>107</v>
      </c>
      <c r="C544" t="s">
        <v>44</v>
      </c>
      <c r="D544" t="s">
        <v>32</v>
      </c>
      <c r="E544" t="s">
        <v>116</v>
      </c>
      <c r="F544" t="s">
        <v>25</v>
      </c>
      <c r="G544" t="s">
        <v>26</v>
      </c>
      <c r="H544" t="s">
        <v>27</v>
      </c>
      <c r="I544">
        <v>53466</v>
      </c>
      <c r="J544">
        <v>6</v>
      </c>
      <c r="K544" t="s">
        <v>28</v>
      </c>
      <c r="L544">
        <v>5288</v>
      </c>
    </row>
    <row r="545" spans="1:12" x14ac:dyDescent="0.3">
      <c r="A545" t="s">
        <v>891</v>
      </c>
      <c r="B545" t="s">
        <v>255</v>
      </c>
      <c r="C545" t="s">
        <v>44</v>
      </c>
      <c r="D545" t="s">
        <v>23</v>
      </c>
      <c r="E545" t="s">
        <v>129</v>
      </c>
      <c r="F545" t="s">
        <v>25</v>
      </c>
      <c r="G545" t="s">
        <v>40</v>
      </c>
      <c r="H545" t="s">
        <v>41</v>
      </c>
      <c r="I545">
        <v>3183</v>
      </c>
      <c r="J545">
        <v>8</v>
      </c>
      <c r="K545" t="s">
        <v>34</v>
      </c>
      <c r="L545">
        <v>802.12</v>
      </c>
    </row>
    <row r="546" spans="1:12" x14ac:dyDescent="0.3">
      <c r="A546" t="s">
        <v>892</v>
      </c>
      <c r="B546" t="s">
        <v>893</v>
      </c>
      <c r="C546" t="s">
        <v>91</v>
      </c>
      <c r="D546" t="s">
        <v>38</v>
      </c>
      <c r="E546" t="s">
        <v>52</v>
      </c>
      <c r="F546" t="s">
        <v>17</v>
      </c>
      <c r="G546" t="s">
        <v>18</v>
      </c>
      <c r="H546" t="s">
        <v>19</v>
      </c>
      <c r="I546">
        <v>19515</v>
      </c>
      <c r="J546">
        <v>2</v>
      </c>
      <c r="K546" t="s">
        <v>49</v>
      </c>
      <c r="L546">
        <v>4398.87</v>
      </c>
    </row>
    <row r="547" spans="1:12" x14ac:dyDescent="0.3">
      <c r="A547" t="s">
        <v>894</v>
      </c>
      <c r="B547" t="s">
        <v>523</v>
      </c>
      <c r="C547" t="s">
        <v>14</v>
      </c>
      <c r="D547" t="s">
        <v>38</v>
      </c>
      <c r="E547" t="s">
        <v>39</v>
      </c>
      <c r="F547" t="s">
        <v>25</v>
      </c>
      <c r="G547" t="s">
        <v>40</v>
      </c>
      <c r="H547" t="s">
        <v>41</v>
      </c>
      <c r="I547">
        <v>61548</v>
      </c>
      <c r="J547">
        <v>2</v>
      </c>
      <c r="K547" t="s">
        <v>34</v>
      </c>
      <c r="L547">
        <v>10888.27</v>
      </c>
    </row>
    <row r="548" spans="1:12" x14ac:dyDescent="0.3">
      <c r="A548" t="s">
        <v>895</v>
      </c>
      <c r="B548" t="s">
        <v>90</v>
      </c>
      <c r="C548" t="s">
        <v>56</v>
      </c>
      <c r="D548" t="s">
        <v>38</v>
      </c>
      <c r="E548" t="s">
        <v>67</v>
      </c>
      <c r="F548" t="s">
        <v>25</v>
      </c>
      <c r="G548" t="s">
        <v>26</v>
      </c>
      <c r="H548" t="s">
        <v>27</v>
      </c>
      <c r="I548">
        <v>72860</v>
      </c>
      <c r="J548">
        <v>4</v>
      </c>
      <c r="K548" t="s">
        <v>53</v>
      </c>
      <c r="L548">
        <v>8465.1</v>
      </c>
    </row>
    <row r="549" spans="1:12" x14ac:dyDescent="0.3">
      <c r="A549" t="s">
        <v>896</v>
      </c>
      <c r="B549" t="s">
        <v>778</v>
      </c>
      <c r="C549" t="s">
        <v>37</v>
      </c>
      <c r="D549" t="s">
        <v>38</v>
      </c>
      <c r="E549" t="s">
        <v>52</v>
      </c>
      <c r="F549" t="s">
        <v>46</v>
      </c>
      <c r="G549" t="s">
        <v>94</v>
      </c>
      <c r="H549" t="s">
        <v>95</v>
      </c>
      <c r="I549">
        <v>55060</v>
      </c>
      <c r="J549">
        <v>4</v>
      </c>
      <c r="K549" t="s">
        <v>20</v>
      </c>
      <c r="L549">
        <v>11717.91</v>
      </c>
    </row>
    <row r="550" spans="1:12" x14ac:dyDescent="0.3">
      <c r="A550" t="s">
        <v>897</v>
      </c>
      <c r="B550" t="s">
        <v>139</v>
      </c>
      <c r="C550" t="s">
        <v>14</v>
      </c>
      <c r="D550" t="s">
        <v>38</v>
      </c>
      <c r="E550" t="s">
        <v>52</v>
      </c>
      <c r="F550" t="s">
        <v>17</v>
      </c>
      <c r="G550" t="s">
        <v>104</v>
      </c>
      <c r="H550" t="s">
        <v>105</v>
      </c>
      <c r="I550">
        <v>51177</v>
      </c>
      <c r="J550">
        <v>5</v>
      </c>
      <c r="K550" t="s">
        <v>49</v>
      </c>
      <c r="L550">
        <v>7614.21</v>
      </c>
    </row>
    <row r="551" spans="1:12" x14ac:dyDescent="0.3">
      <c r="A551" t="s">
        <v>898</v>
      </c>
      <c r="B551" t="s">
        <v>277</v>
      </c>
      <c r="C551" t="s">
        <v>121</v>
      </c>
      <c r="D551" t="s">
        <v>15</v>
      </c>
      <c r="E551" t="s">
        <v>73</v>
      </c>
      <c r="F551" t="s">
        <v>17</v>
      </c>
      <c r="G551" t="s">
        <v>76</v>
      </c>
      <c r="H551" t="s">
        <v>77</v>
      </c>
      <c r="I551">
        <v>9971</v>
      </c>
      <c r="J551">
        <v>9</v>
      </c>
      <c r="K551" t="s">
        <v>49</v>
      </c>
      <c r="L551">
        <v>1058.69</v>
      </c>
    </row>
    <row r="552" spans="1:12" x14ac:dyDescent="0.3">
      <c r="A552" t="s">
        <v>899</v>
      </c>
      <c r="B552" t="s">
        <v>900</v>
      </c>
      <c r="C552" t="s">
        <v>121</v>
      </c>
      <c r="D552" t="s">
        <v>15</v>
      </c>
      <c r="E552" t="s">
        <v>154</v>
      </c>
      <c r="F552" t="s">
        <v>25</v>
      </c>
      <c r="G552" t="s">
        <v>40</v>
      </c>
      <c r="H552" t="s">
        <v>41</v>
      </c>
      <c r="I552">
        <v>10538</v>
      </c>
      <c r="J552">
        <v>1</v>
      </c>
      <c r="K552" t="s">
        <v>53</v>
      </c>
      <c r="L552">
        <v>2491.62</v>
      </c>
    </row>
    <row r="553" spans="1:12" x14ac:dyDescent="0.3">
      <c r="A553" t="s">
        <v>901</v>
      </c>
      <c r="B553" t="s">
        <v>118</v>
      </c>
      <c r="C553" t="s">
        <v>37</v>
      </c>
      <c r="D553" t="s">
        <v>38</v>
      </c>
      <c r="E553" t="s">
        <v>39</v>
      </c>
      <c r="F553" t="s">
        <v>17</v>
      </c>
      <c r="G553" t="s">
        <v>76</v>
      </c>
      <c r="H553" t="s">
        <v>77</v>
      </c>
      <c r="I553">
        <v>50238</v>
      </c>
      <c r="J553">
        <v>1</v>
      </c>
      <c r="K553" t="s">
        <v>20</v>
      </c>
      <c r="L553">
        <v>8706</v>
      </c>
    </row>
    <row r="554" spans="1:12" x14ac:dyDescent="0.3">
      <c r="A554" t="s">
        <v>902</v>
      </c>
      <c r="B554" t="s">
        <v>326</v>
      </c>
      <c r="C554" t="s">
        <v>66</v>
      </c>
      <c r="D554" t="s">
        <v>15</v>
      </c>
      <c r="E554" t="s">
        <v>16</v>
      </c>
      <c r="F554" t="s">
        <v>46</v>
      </c>
      <c r="G554" t="s">
        <v>94</v>
      </c>
      <c r="H554" t="s">
        <v>95</v>
      </c>
      <c r="I554">
        <v>62550</v>
      </c>
      <c r="J554">
        <v>8</v>
      </c>
      <c r="K554" t="s">
        <v>34</v>
      </c>
      <c r="L554">
        <v>4004.21</v>
      </c>
    </row>
    <row r="555" spans="1:12" x14ac:dyDescent="0.3">
      <c r="A555" t="s">
        <v>903</v>
      </c>
      <c r="B555" t="s">
        <v>904</v>
      </c>
      <c r="C555" t="s">
        <v>37</v>
      </c>
      <c r="D555" t="s">
        <v>38</v>
      </c>
      <c r="E555" t="s">
        <v>67</v>
      </c>
      <c r="F555" t="s">
        <v>46</v>
      </c>
      <c r="G555" t="s">
        <v>94</v>
      </c>
      <c r="H555" t="s">
        <v>95</v>
      </c>
      <c r="I555">
        <v>16127</v>
      </c>
      <c r="J555">
        <v>5</v>
      </c>
      <c r="K555" t="s">
        <v>20</v>
      </c>
      <c r="L555">
        <v>3574.73</v>
      </c>
    </row>
    <row r="556" spans="1:12" x14ac:dyDescent="0.3">
      <c r="A556" t="s">
        <v>905</v>
      </c>
      <c r="B556" t="s">
        <v>884</v>
      </c>
      <c r="C556" t="s">
        <v>31</v>
      </c>
      <c r="D556" t="s">
        <v>32</v>
      </c>
      <c r="E556" t="s">
        <v>33</v>
      </c>
      <c r="F556" t="s">
        <v>46</v>
      </c>
      <c r="G556" t="s">
        <v>94</v>
      </c>
      <c r="H556" t="s">
        <v>95</v>
      </c>
      <c r="I556">
        <v>60964</v>
      </c>
      <c r="J556">
        <v>4</v>
      </c>
      <c r="K556" t="s">
        <v>28</v>
      </c>
      <c r="L556">
        <v>13619.55</v>
      </c>
    </row>
    <row r="557" spans="1:12" x14ac:dyDescent="0.3">
      <c r="A557" t="s">
        <v>906</v>
      </c>
      <c r="B557" t="s">
        <v>907</v>
      </c>
      <c r="C557" t="s">
        <v>121</v>
      </c>
      <c r="D557" t="s">
        <v>15</v>
      </c>
      <c r="E557" t="s">
        <v>73</v>
      </c>
      <c r="F557" t="s">
        <v>17</v>
      </c>
      <c r="G557" t="s">
        <v>104</v>
      </c>
      <c r="H557" t="s">
        <v>105</v>
      </c>
      <c r="I557">
        <v>16906</v>
      </c>
      <c r="J557">
        <v>5</v>
      </c>
      <c r="K557" t="s">
        <v>49</v>
      </c>
      <c r="L557">
        <v>4074.16</v>
      </c>
    </row>
    <row r="558" spans="1:12" x14ac:dyDescent="0.3">
      <c r="A558" t="s">
        <v>908</v>
      </c>
      <c r="B558" t="s">
        <v>220</v>
      </c>
      <c r="C558" t="s">
        <v>44</v>
      </c>
      <c r="D558" t="s">
        <v>38</v>
      </c>
      <c r="E558" t="s">
        <v>52</v>
      </c>
      <c r="F558" t="s">
        <v>25</v>
      </c>
      <c r="G558" t="s">
        <v>26</v>
      </c>
      <c r="H558" t="s">
        <v>27</v>
      </c>
      <c r="I558">
        <v>4755</v>
      </c>
      <c r="J558">
        <v>2</v>
      </c>
      <c r="K558" t="s">
        <v>53</v>
      </c>
      <c r="L558">
        <v>1119.3399999999999</v>
      </c>
    </row>
    <row r="559" spans="1:12" x14ac:dyDescent="0.3">
      <c r="A559" t="s">
        <v>909</v>
      </c>
      <c r="B559" t="s">
        <v>910</v>
      </c>
      <c r="C559" t="s">
        <v>44</v>
      </c>
      <c r="D559" t="s">
        <v>32</v>
      </c>
      <c r="E559" t="s">
        <v>116</v>
      </c>
      <c r="F559" t="s">
        <v>17</v>
      </c>
      <c r="G559" t="s">
        <v>104</v>
      </c>
      <c r="H559" t="s">
        <v>105</v>
      </c>
      <c r="I559">
        <v>19124</v>
      </c>
      <c r="J559">
        <v>10</v>
      </c>
      <c r="K559" t="s">
        <v>49</v>
      </c>
      <c r="L559">
        <v>4116.04</v>
      </c>
    </row>
    <row r="560" spans="1:12" x14ac:dyDescent="0.3">
      <c r="A560" t="s">
        <v>911</v>
      </c>
      <c r="B560" t="s">
        <v>912</v>
      </c>
      <c r="C560" t="s">
        <v>121</v>
      </c>
      <c r="D560" t="s">
        <v>32</v>
      </c>
      <c r="E560" t="s">
        <v>116</v>
      </c>
      <c r="F560" t="s">
        <v>46</v>
      </c>
      <c r="G560" t="s">
        <v>94</v>
      </c>
      <c r="H560" t="s">
        <v>95</v>
      </c>
      <c r="I560">
        <v>4373</v>
      </c>
      <c r="J560">
        <v>10</v>
      </c>
      <c r="K560" t="s">
        <v>34</v>
      </c>
      <c r="L560">
        <v>701.14</v>
      </c>
    </row>
    <row r="561" spans="1:12" x14ac:dyDescent="0.3">
      <c r="A561" t="s">
        <v>913</v>
      </c>
      <c r="B561" t="s">
        <v>914</v>
      </c>
      <c r="C561" t="s">
        <v>44</v>
      </c>
      <c r="D561" t="s">
        <v>15</v>
      </c>
      <c r="E561" t="s">
        <v>154</v>
      </c>
      <c r="F561" t="s">
        <v>25</v>
      </c>
      <c r="G561" t="s">
        <v>40</v>
      </c>
      <c r="H561" t="s">
        <v>41</v>
      </c>
      <c r="I561">
        <v>55539</v>
      </c>
      <c r="J561">
        <v>6</v>
      </c>
      <c r="K561" t="s">
        <v>20</v>
      </c>
      <c r="L561">
        <v>8601.17</v>
      </c>
    </row>
    <row r="562" spans="1:12" x14ac:dyDescent="0.3">
      <c r="A562" t="s">
        <v>915</v>
      </c>
      <c r="B562" t="s">
        <v>22</v>
      </c>
      <c r="C562" t="s">
        <v>14</v>
      </c>
      <c r="D562" t="s">
        <v>15</v>
      </c>
      <c r="E562" t="s">
        <v>73</v>
      </c>
      <c r="F562" t="s">
        <v>25</v>
      </c>
      <c r="G562" t="s">
        <v>57</v>
      </c>
      <c r="H562" t="s">
        <v>58</v>
      </c>
      <c r="I562">
        <v>18283</v>
      </c>
      <c r="J562">
        <v>7</v>
      </c>
      <c r="K562" t="s">
        <v>53</v>
      </c>
      <c r="L562">
        <v>3427.13</v>
      </c>
    </row>
    <row r="563" spans="1:12" x14ac:dyDescent="0.3">
      <c r="A563" t="s">
        <v>916</v>
      </c>
      <c r="B563" t="s">
        <v>247</v>
      </c>
      <c r="C563" t="s">
        <v>31</v>
      </c>
      <c r="D563" t="s">
        <v>32</v>
      </c>
      <c r="E563" t="s">
        <v>116</v>
      </c>
      <c r="F563" t="s">
        <v>17</v>
      </c>
      <c r="G563" t="s">
        <v>76</v>
      </c>
      <c r="H563" t="s">
        <v>77</v>
      </c>
      <c r="I563">
        <v>52422</v>
      </c>
      <c r="J563">
        <v>4</v>
      </c>
      <c r="K563" t="s">
        <v>49</v>
      </c>
      <c r="L563">
        <v>8146.85</v>
      </c>
    </row>
    <row r="564" spans="1:12" x14ac:dyDescent="0.3">
      <c r="A564" t="s">
        <v>917</v>
      </c>
      <c r="B564" t="s">
        <v>918</v>
      </c>
      <c r="C564" t="s">
        <v>121</v>
      </c>
      <c r="D564" t="s">
        <v>23</v>
      </c>
      <c r="E564" t="s">
        <v>82</v>
      </c>
      <c r="F564" t="s">
        <v>25</v>
      </c>
      <c r="G564" t="s">
        <v>57</v>
      </c>
      <c r="H564" t="s">
        <v>58</v>
      </c>
      <c r="I564">
        <v>70389</v>
      </c>
      <c r="J564">
        <v>5</v>
      </c>
      <c r="K564" t="s">
        <v>20</v>
      </c>
      <c r="L564">
        <v>7619.14</v>
      </c>
    </row>
    <row r="565" spans="1:12" x14ac:dyDescent="0.3">
      <c r="A565" t="s">
        <v>919</v>
      </c>
      <c r="B565" t="s">
        <v>196</v>
      </c>
      <c r="C565" t="s">
        <v>31</v>
      </c>
      <c r="D565" t="s">
        <v>32</v>
      </c>
      <c r="E565" t="s">
        <v>45</v>
      </c>
      <c r="F565" t="s">
        <v>17</v>
      </c>
      <c r="G565" t="s">
        <v>76</v>
      </c>
      <c r="H565" t="s">
        <v>77</v>
      </c>
      <c r="I565">
        <v>4782</v>
      </c>
      <c r="J565">
        <v>1</v>
      </c>
      <c r="K565" t="s">
        <v>34</v>
      </c>
      <c r="L565">
        <v>337.36</v>
      </c>
    </row>
    <row r="566" spans="1:12" x14ac:dyDescent="0.3">
      <c r="A566" t="s">
        <v>920</v>
      </c>
      <c r="B566" t="s">
        <v>767</v>
      </c>
      <c r="C566" t="s">
        <v>72</v>
      </c>
      <c r="D566" t="s">
        <v>38</v>
      </c>
      <c r="E566" t="s">
        <v>52</v>
      </c>
      <c r="F566" t="s">
        <v>17</v>
      </c>
      <c r="G566" t="s">
        <v>76</v>
      </c>
      <c r="H566" t="s">
        <v>77</v>
      </c>
      <c r="I566">
        <v>42137</v>
      </c>
      <c r="J566">
        <v>10</v>
      </c>
      <c r="K566" t="s">
        <v>20</v>
      </c>
      <c r="L566">
        <v>5537.6</v>
      </c>
    </row>
    <row r="567" spans="1:12" x14ac:dyDescent="0.3">
      <c r="A567" t="s">
        <v>921</v>
      </c>
      <c r="B567" t="s">
        <v>178</v>
      </c>
      <c r="C567" t="s">
        <v>91</v>
      </c>
      <c r="D567" t="s">
        <v>15</v>
      </c>
      <c r="E567" t="s">
        <v>154</v>
      </c>
      <c r="F567" t="s">
        <v>46</v>
      </c>
      <c r="G567" t="s">
        <v>47</v>
      </c>
      <c r="H567" t="s">
        <v>48</v>
      </c>
      <c r="I567">
        <v>12472</v>
      </c>
      <c r="J567">
        <v>4</v>
      </c>
      <c r="K567" t="s">
        <v>49</v>
      </c>
      <c r="L567">
        <v>1092.73</v>
      </c>
    </row>
    <row r="568" spans="1:12" x14ac:dyDescent="0.3">
      <c r="A568" t="s">
        <v>922</v>
      </c>
      <c r="B568" t="s">
        <v>745</v>
      </c>
      <c r="C568" t="s">
        <v>37</v>
      </c>
      <c r="D568" t="s">
        <v>23</v>
      </c>
      <c r="E568" t="s">
        <v>24</v>
      </c>
      <c r="F568" t="s">
        <v>25</v>
      </c>
      <c r="G568" t="s">
        <v>57</v>
      </c>
      <c r="H568" t="s">
        <v>58</v>
      </c>
      <c r="I568">
        <v>11977</v>
      </c>
      <c r="J568">
        <v>10</v>
      </c>
      <c r="K568" t="s">
        <v>20</v>
      </c>
      <c r="L568">
        <v>1978.81</v>
      </c>
    </row>
    <row r="569" spans="1:12" x14ac:dyDescent="0.3">
      <c r="A569" t="s">
        <v>923</v>
      </c>
      <c r="B569" t="s">
        <v>394</v>
      </c>
      <c r="C569" t="s">
        <v>44</v>
      </c>
      <c r="D569" t="s">
        <v>38</v>
      </c>
      <c r="E569" t="s">
        <v>52</v>
      </c>
      <c r="F569" t="s">
        <v>25</v>
      </c>
      <c r="G569" t="s">
        <v>26</v>
      </c>
      <c r="H569" t="s">
        <v>27</v>
      </c>
      <c r="I569">
        <v>78618</v>
      </c>
      <c r="J569">
        <v>1</v>
      </c>
      <c r="K569" t="s">
        <v>20</v>
      </c>
      <c r="L569">
        <v>18459.689999999999</v>
      </c>
    </row>
    <row r="570" spans="1:12" x14ac:dyDescent="0.3">
      <c r="A570" t="s">
        <v>924</v>
      </c>
      <c r="B570" t="s">
        <v>107</v>
      </c>
      <c r="C570" t="s">
        <v>91</v>
      </c>
      <c r="D570" t="s">
        <v>32</v>
      </c>
      <c r="E570" t="s">
        <v>33</v>
      </c>
      <c r="F570" t="s">
        <v>46</v>
      </c>
      <c r="G570" t="s">
        <v>94</v>
      </c>
      <c r="H570" t="s">
        <v>95</v>
      </c>
      <c r="I570">
        <v>11565</v>
      </c>
      <c r="J570">
        <v>1</v>
      </c>
      <c r="K570" t="s">
        <v>34</v>
      </c>
      <c r="L570">
        <v>2675.01</v>
      </c>
    </row>
    <row r="571" spans="1:12" x14ac:dyDescent="0.3">
      <c r="A571" t="s">
        <v>925</v>
      </c>
      <c r="B571" t="s">
        <v>926</v>
      </c>
      <c r="C571" t="s">
        <v>44</v>
      </c>
      <c r="D571" t="s">
        <v>38</v>
      </c>
      <c r="E571" t="s">
        <v>67</v>
      </c>
      <c r="F571" t="s">
        <v>17</v>
      </c>
      <c r="G571" t="s">
        <v>76</v>
      </c>
      <c r="H571" t="s">
        <v>77</v>
      </c>
      <c r="I571">
        <v>16237</v>
      </c>
      <c r="J571">
        <v>10</v>
      </c>
      <c r="K571" t="s">
        <v>20</v>
      </c>
      <c r="L571">
        <v>3805.44</v>
      </c>
    </row>
    <row r="572" spans="1:12" x14ac:dyDescent="0.3">
      <c r="A572" t="s">
        <v>927</v>
      </c>
      <c r="B572" t="s">
        <v>390</v>
      </c>
      <c r="C572" t="s">
        <v>121</v>
      </c>
      <c r="D572" t="s">
        <v>23</v>
      </c>
      <c r="E572" t="s">
        <v>24</v>
      </c>
      <c r="F572" t="s">
        <v>25</v>
      </c>
      <c r="G572" t="s">
        <v>40</v>
      </c>
      <c r="H572" t="s">
        <v>41</v>
      </c>
      <c r="I572">
        <v>74425</v>
      </c>
      <c r="J572">
        <v>4</v>
      </c>
      <c r="K572" t="s">
        <v>20</v>
      </c>
      <c r="L572">
        <v>6849.27</v>
      </c>
    </row>
    <row r="573" spans="1:12" x14ac:dyDescent="0.3">
      <c r="A573" t="s">
        <v>928</v>
      </c>
      <c r="B573" t="s">
        <v>910</v>
      </c>
      <c r="C573" t="s">
        <v>121</v>
      </c>
      <c r="D573" t="s">
        <v>38</v>
      </c>
      <c r="E573" t="s">
        <v>39</v>
      </c>
      <c r="F573" t="s">
        <v>25</v>
      </c>
      <c r="G573" t="s">
        <v>40</v>
      </c>
      <c r="H573" t="s">
        <v>41</v>
      </c>
      <c r="I573">
        <v>15872</v>
      </c>
      <c r="J573">
        <v>7</v>
      </c>
      <c r="K573" t="s">
        <v>28</v>
      </c>
      <c r="L573">
        <v>2845.55</v>
      </c>
    </row>
    <row r="574" spans="1:12" x14ac:dyDescent="0.3">
      <c r="A574" t="s">
        <v>929</v>
      </c>
      <c r="B574" t="s">
        <v>36</v>
      </c>
      <c r="C574" t="s">
        <v>121</v>
      </c>
      <c r="D574" t="s">
        <v>32</v>
      </c>
      <c r="E574" t="s">
        <v>116</v>
      </c>
      <c r="F574" t="s">
        <v>46</v>
      </c>
      <c r="G574" t="s">
        <v>94</v>
      </c>
      <c r="H574" t="s">
        <v>95</v>
      </c>
      <c r="I574">
        <v>44827</v>
      </c>
      <c r="J574">
        <v>8</v>
      </c>
      <c r="K574" t="s">
        <v>49</v>
      </c>
      <c r="L574">
        <v>6444.12</v>
      </c>
    </row>
    <row r="575" spans="1:12" x14ac:dyDescent="0.3">
      <c r="A575" t="s">
        <v>930</v>
      </c>
      <c r="B575" t="s">
        <v>226</v>
      </c>
      <c r="C575" t="s">
        <v>66</v>
      </c>
      <c r="D575" t="s">
        <v>15</v>
      </c>
      <c r="E575" t="s">
        <v>73</v>
      </c>
      <c r="F575" t="s">
        <v>25</v>
      </c>
      <c r="G575" t="s">
        <v>40</v>
      </c>
      <c r="H575" t="s">
        <v>41</v>
      </c>
      <c r="I575">
        <v>21104</v>
      </c>
      <c r="J575">
        <v>1</v>
      </c>
      <c r="K575" t="s">
        <v>49</v>
      </c>
      <c r="L575">
        <v>4428.1499999999996</v>
      </c>
    </row>
    <row r="576" spans="1:12" x14ac:dyDescent="0.3">
      <c r="A576" t="s">
        <v>931</v>
      </c>
      <c r="B576" t="s">
        <v>365</v>
      </c>
      <c r="C576" t="s">
        <v>31</v>
      </c>
      <c r="D576" t="s">
        <v>38</v>
      </c>
      <c r="E576" t="s">
        <v>67</v>
      </c>
      <c r="F576" t="s">
        <v>17</v>
      </c>
      <c r="G576" t="s">
        <v>18</v>
      </c>
      <c r="H576" t="s">
        <v>19</v>
      </c>
      <c r="I576">
        <v>27120</v>
      </c>
      <c r="J576">
        <v>6</v>
      </c>
      <c r="K576" t="s">
        <v>53</v>
      </c>
      <c r="L576">
        <v>6077.43</v>
      </c>
    </row>
    <row r="577" spans="1:12" x14ac:dyDescent="0.3">
      <c r="A577" t="s">
        <v>932</v>
      </c>
      <c r="B577" t="s">
        <v>572</v>
      </c>
      <c r="C577" t="s">
        <v>44</v>
      </c>
      <c r="D577" t="s">
        <v>32</v>
      </c>
      <c r="E577" t="s">
        <v>33</v>
      </c>
      <c r="F577" t="s">
        <v>17</v>
      </c>
      <c r="G577" t="s">
        <v>76</v>
      </c>
      <c r="H577" t="s">
        <v>77</v>
      </c>
      <c r="I577">
        <v>54725</v>
      </c>
      <c r="J577">
        <v>7</v>
      </c>
      <c r="K577" t="s">
        <v>20</v>
      </c>
      <c r="L577">
        <v>11070.49</v>
      </c>
    </row>
    <row r="578" spans="1:12" x14ac:dyDescent="0.3">
      <c r="A578" t="s">
        <v>933</v>
      </c>
      <c r="B578" t="s">
        <v>283</v>
      </c>
      <c r="C578" t="s">
        <v>56</v>
      </c>
      <c r="D578" t="s">
        <v>32</v>
      </c>
      <c r="E578" t="s">
        <v>33</v>
      </c>
      <c r="F578" t="s">
        <v>25</v>
      </c>
      <c r="G578" t="s">
        <v>26</v>
      </c>
      <c r="H578" t="s">
        <v>27</v>
      </c>
      <c r="I578">
        <v>10073</v>
      </c>
      <c r="J578">
        <v>7</v>
      </c>
      <c r="K578" t="s">
        <v>20</v>
      </c>
      <c r="L578">
        <v>2647.66</v>
      </c>
    </row>
    <row r="579" spans="1:12" x14ac:dyDescent="0.3">
      <c r="A579" t="s">
        <v>934</v>
      </c>
      <c r="B579" t="s">
        <v>935</v>
      </c>
      <c r="C579" t="s">
        <v>66</v>
      </c>
      <c r="D579" t="s">
        <v>38</v>
      </c>
      <c r="E579" t="s">
        <v>52</v>
      </c>
      <c r="F579" t="s">
        <v>25</v>
      </c>
      <c r="G579" t="s">
        <v>40</v>
      </c>
      <c r="H579" t="s">
        <v>41</v>
      </c>
      <c r="I579">
        <v>77607</v>
      </c>
      <c r="J579">
        <v>8</v>
      </c>
      <c r="K579" t="s">
        <v>49</v>
      </c>
      <c r="L579">
        <v>10916.25</v>
      </c>
    </row>
    <row r="580" spans="1:12" x14ac:dyDescent="0.3">
      <c r="A580" t="s">
        <v>936</v>
      </c>
      <c r="B580" t="s">
        <v>373</v>
      </c>
      <c r="C580" t="s">
        <v>37</v>
      </c>
      <c r="D580" t="s">
        <v>32</v>
      </c>
      <c r="E580" t="s">
        <v>45</v>
      </c>
      <c r="F580" t="s">
        <v>17</v>
      </c>
      <c r="G580" t="s">
        <v>104</v>
      </c>
      <c r="H580" t="s">
        <v>105</v>
      </c>
      <c r="I580">
        <v>47405</v>
      </c>
      <c r="J580">
        <v>4</v>
      </c>
      <c r="K580" t="s">
        <v>28</v>
      </c>
      <c r="L580">
        <v>4083.72</v>
      </c>
    </row>
    <row r="581" spans="1:12" x14ac:dyDescent="0.3">
      <c r="A581" t="s">
        <v>937</v>
      </c>
      <c r="B581" t="s">
        <v>938</v>
      </c>
      <c r="C581" t="s">
        <v>44</v>
      </c>
      <c r="D581" t="s">
        <v>23</v>
      </c>
      <c r="E581" t="s">
        <v>82</v>
      </c>
      <c r="F581" t="s">
        <v>46</v>
      </c>
      <c r="G581" t="s">
        <v>94</v>
      </c>
      <c r="H581" t="s">
        <v>95</v>
      </c>
      <c r="I581">
        <v>63745</v>
      </c>
      <c r="J581">
        <v>1</v>
      </c>
      <c r="K581" t="s">
        <v>20</v>
      </c>
      <c r="L581">
        <v>16713.03</v>
      </c>
    </row>
    <row r="582" spans="1:12" x14ac:dyDescent="0.3">
      <c r="A582" t="s">
        <v>939</v>
      </c>
      <c r="B582" t="s">
        <v>62</v>
      </c>
      <c r="C582" t="s">
        <v>44</v>
      </c>
      <c r="D582" t="s">
        <v>38</v>
      </c>
      <c r="E582" t="s">
        <v>39</v>
      </c>
      <c r="F582" t="s">
        <v>25</v>
      </c>
      <c r="G582" t="s">
        <v>40</v>
      </c>
      <c r="H582" t="s">
        <v>41</v>
      </c>
      <c r="I582">
        <v>12101</v>
      </c>
      <c r="J582">
        <v>8</v>
      </c>
      <c r="K582" t="s">
        <v>34</v>
      </c>
      <c r="L582">
        <v>2186.08</v>
      </c>
    </row>
    <row r="583" spans="1:12" x14ac:dyDescent="0.3">
      <c r="A583" t="s">
        <v>940</v>
      </c>
      <c r="B583" t="s">
        <v>687</v>
      </c>
      <c r="C583" t="s">
        <v>121</v>
      </c>
      <c r="D583" t="s">
        <v>38</v>
      </c>
      <c r="E583" t="s">
        <v>67</v>
      </c>
      <c r="F583" t="s">
        <v>25</v>
      </c>
      <c r="G583" t="s">
        <v>40</v>
      </c>
      <c r="H583" t="s">
        <v>41</v>
      </c>
      <c r="I583">
        <v>24415</v>
      </c>
      <c r="J583">
        <v>2</v>
      </c>
      <c r="K583" t="s">
        <v>34</v>
      </c>
      <c r="L583">
        <v>6227.5</v>
      </c>
    </row>
    <row r="584" spans="1:12" x14ac:dyDescent="0.3">
      <c r="A584" t="s">
        <v>941</v>
      </c>
      <c r="B584" t="s">
        <v>942</v>
      </c>
      <c r="C584" t="s">
        <v>66</v>
      </c>
      <c r="D584" t="s">
        <v>32</v>
      </c>
      <c r="E584" t="s">
        <v>45</v>
      </c>
      <c r="F584" t="s">
        <v>46</v>
      </c>
      <c r="G584" t="s">
        <v>47</v>
      </c>
      <c r="H584" t="s">
        <v>48</v>
      </c>
      <c r="I584">
        <v>51269</v>
      </c>
      <c r="J584">
        <v>8</v>
      </c>
      <c r="K584" t="s">
        <v>49</v>
      </c>
      <c r="L584">
        <v>5572.75</v>
      </c>
    </row>
    <row r="585" spans="1:12" x14ac:dyDescent="0.3">
      <c r="A585" t="s">
        <v>943</v>
      </c>
      <c r="B585" t="s">
        <v>944</v>
      </c>
      <c r="C585" t="s">
        <v>72</v>
      </c>
      <c r="D585" t="s">
        <v>23</v>
      </c>
      <c r="E585" t="s">
        <v>24</v>
      </c>
      <c r="F585" t="s">
        <v>46</v>
      </c>
      <c r="G585" t="s">
        <v>87</v>
      </c>
      <c r="H585" t="s">
        <v>88</v>
      </c>
      <c r="I585">
        <v>34522</v>
      </c>
      <c r="J585">
        <v>9</v>
      </c>
      <c r="K585" t="s">
        <v>53</v>
      </c>
      <c r="L585">
        <v>5349.17</v>
      </c>
    </row>
    <row r="586" spans="1:12" x14ac:dyDescent="0.3">
      <c r="A586" t="s">
        <v>945</v>
      </c>
      <c r="B586" t="s">
        <v>543</v>
      </c>
      <c r="C586" t="s">
        <v>56</v>
      </c>
      <c r="D586" t="s">
        <v>23</v>
      </c>
      <c r="E586" t="s">
        <v>24</v>
      </c>
      <c r="F586" t="s">
        <v>46</v>
      </c>
      <c r="G586" t="s">
        <v>87</v>
      </c>
      <c r="H586" t="s">
        <v>88</v>
      </c>
      <c r="I586">
        <v>12640</v>
      </c>
      <c r="J586">
        <v>7</v>
      </c>
      <c r="K586" t="s">
        <v>53</v>
      </c>
      <c r="L586">
        <v>1190.9100000000001</v>
      </c>
    </row>
    <row r="587" spans="1:12" x14ac:dyDescent="0.3">
      <c r="A587" t="s">
        <v>946</v>
      </c>
      <c r="B587" t="s">
        <v>125</v>
      </c>
      <c r="C587" t="s">
        <v>72</v>
      </c>
      <c r="D587" t="s">
        <v>38</v>
      </c>
      <c r="E587" t="s">
        <v>67</v>
      </c>
      <c r="F587" t="s">
        <v>17</v>
      </c>
      <c r="G587" t="s">
        <v>76</v>
      </c>
      <c r="H587" t="s">
        <v>77</v>
      </c>
      <c r="I587">
        <v>57804</v>
      </c>
      <c r="J587">
        <v>6</v>
      </c>
      <c r="K587" t="s">
        <v>49</v>
      </c>
      <c r="L587">
        <v>13321.55</v>
      </c>
    </row>
    <row r="588" spans="1:12" x14ac:dyDescent="0.3">
      <c r="A588" t="s">
        <v>947</v>
      </c>
      <c r="B588" t="s">
        <v>413</v>
      </c>
      <c r="C588" t="s">
        <v>44</v>
      </c>
      <c r="D588" t="s">
        <v>23</v>
      </c>
      <c r="E588" t="s">
        <v>129</v>
      </c>
      <c r="F588" t="s">
        <v>46</v>
      </c>
      <c r="G588" t="s">
        <v>87</v>
      </c>
      <c r="H588" t="s">
        <v>88</v>
      </c>
      <c r="I588">
        <v>17255</v>
      </c>
      <c r="J588">
        <v>2</v>
      </c>
      <c r="K588" t="s">
        <v>20</v>
      </c>
      <c r="L588">
        <v>4408.74</v>
      </c>
    </row>
    <row r="589" spans="1:12" x14ac:dyDescent="0.3">
      <c r="A589" t="s">
        <v>948</v>
      </c>
      <c r="B589" t="s">
        <v>606</v>
      </c>
      <c r="C589" t="s">
        <v>72</v>
      </c>
      <c r="D589" t="s">
        <v>38</v>
      </c>
      <c r="E589" t="s">
        <v>52</v>
      </c>
      <c r="F589" t="s">
        <v>25</v>
      </c>
      <c r="G589" t="s">
        <v>26</v>
      </c>
      <c r="H589" t="s">
        <v>27</v>
      </c>
      <c r="I589">
        <v>6779</v>
      </c>
      <c r="J589">
        <v>8</v>
      </c>
      <c r="K589" t="s">
        <v>53</v>
      </c>
      <c r="L589">
        <v>1714.33</v>
      </c>
    </row>
    <row r="590" spans="1:12" x14ac:dyDescent="0.3">
      <c r="A590" t="s">
        <v>949</v>
      </c>
      <c r="B590" t="s">
        <v>499</v>
      </c>
      <c r="C590" t="s">
        <v>31</v>
      </c>
      <c r="D590" t="s">
        <v>32</v>
      </c>
      <c r="E590" t="s">
        <v>33</v>
      </c>
      <c r="F590" t="s">
        <v>46</v>
      </c>
      <c r="G590" t="s">
        <v>87</v>
      </c>
      <c r="H590" t="s">
        <v>88</v>
      </c>
      <c r="I590">
        <v>23747</v>
      </c>
      <c r="J590">
        <v>9</v>
      </c>
      <c r="K590" t="s">
        <v>20</v>
      </c>
      <c r="L590">
        <v>2572.46</v>
      </c>
    </row>
    <row r="591" spans="1:12" x14ac:dyDescent="0.3">
      <c r="A591" t="s">
        <v>950</v>
      </c>
      <c r="B591" t="s">
        <v>297</v>
      </c>
      <c r="C591" t="s">
        <v>56</v>
      </c>
      <c r="D591" t="s">
        <v>32</v>
      </c>
      <c r="E591" t="s">
        <v>116</v>
      </c>
      <c r="F591" t="s">
        <v>25</v>
      </c>
      <c r="G591" t="s">
        <v>26</v>
      </c>
      <c r="H591" t="s">
        <v>27</v>
      </c>
      <c r="I591">
        <v>13907</v>
      </c>
      <c r="J591">
        <v>3</v>
      </c>
      <c r="K591" t="s">
        <v>20</v>
      </c>
      <c r="L591">
        <v>3628.69</v>
      </c>
    </row>
    <row r="592" spans="1:12" x14ac:dyDescent="0.3">
      <c r="A592" t="s">
        <v>951</v>
      </c>
      <c r="B592" t="s">
        <v>260</v>
      </c>
      <c r="C592" t="s">
        <v>31</v>
      </c>
      <c r="D592" t="s">
        <v>15</v>
      </c>
      <c r="E592" t="s">
        <v>16</v>
      </c>
      <c r="F592" t="s">
        <v>17</v>
      </c>
      <c r="G592" t="s">
        <v>76</v>
      </c>
      <c r="H592" t="s">
        <v>77</v>
      </c>
      <c r="I592">
        <v>18261</v>
      </c>
      <c r="J592">
        <v>5</v>
      </c>
      <c r="K592" t="s">
        <v>34</v>
      </c>
      <c r="L592">
        <v>3512.15</v>
      </c>
    </row>
    <row r="593" spans="1:12" x14ac:dyDescent="0.3">
      <c r="A593" t="s">
        <v>952</v>
      </c>
      <c r="B593" t="s">
        <v>109</v>
      </c>
      <c r="C593" t="s">
        <v>31</v>
      </c>
      <c r="D593" t="s">
        <v>32</v>
      </c>
      <c r="E593" t="s">
        <v>45</v>
      </c>
      <c r="F593" t="s">
        <v>25</v>
      </c>
      <c r="G593" t="s">
        <v>26</v>
      </c>
      <c r="H593" t="s">
        <v>27</v>
      </c>
      <c r="I593">
        <v>73896</v>
      </c>
      <c r="J593">
        <v>4</v>
      </c>
      <c r="K593" t="s">
        <v>34</v>
      </c>
      <c r="L593">
        <v>5942.72</v>
      </c>
    </row>
    <row r="594" spans="1:12" x14ac:dyDescent="0.3">
      <c r="A594" t="s">
        <v>953</v>
      </c>
      <c r="B594" t="s">
        <v>287</v>
      </c>
      <c r="C594" t="s">
        <v>121</v>
      </c>
      <c r="D594" t="s">
        <v>32</v>
      </c>
      <c r="E594" t="s">
        <v>45</v>
      </c>
      <c r="F594" t="s">
        <v>46</v>
      </c>
      <c r="G594" t="s">
        <v>87</v>
      </c>
      <c r="H594" t="s">
        <v>88</v>
      </c>
      <c r="I594">
        <v>8723</v>
      </c>
      <c r="J594">
        <v>4</v>
      </c>
      <c r="K594" t="s">
        <v>34</v>
      </c>
      <c r="L594">
        <v>1002.9</v>
      </c>
    </row>
    <row r="595" spans="1:12" x14ac:dyDescent="0.3">
      <c r="A595" t="s">
        <v>954</v>
      </c>
      <c r="B595" t="s">
        <v>608</v>
      </c>
      <c r="C595" t="s">
        <v>37</v>
      </c>
      <c r="D595" t="s">
        <v>15</v>
      </c>
      <c r="E595" t="s">
        <v>16</v>
      </c>
      <c r="F595" t="s">
        <v>46</v>
      </c>
      <c r="G595" t="s">
        <v>94</v>
      </c>
      <c r="H595" t="s">
        <v>95</v>
      </c>
      <c r="I595">
        <v>72735</v>
      </c>
      <c r="J595">
        <v>3</v>
      </c>
      <c r="K595" t="s">
        <v>34</v>
      </c>
      <c r="L595">
        <v>13125.17</v>
      </c>
    </row>
    <row r="596" spans="1:12" x14ac:dyDescent="0.3">
      <c r="A596" t="s">
        <v>955</v>
      </c>
      <c r="B596" t="s">
        <v>287</v>
      </c>
      <c r="C596" t="s">
        <v>121</v>
      </c>
      <c r="D596" t="s">
        <v>38</v>
      </c>
      <c r="E596" t="s">
        <v>67</v>
      </c>
      <c r="F596" t="s">
        <v>25</v>
      </c>
      <c r="G596" t="s">
        <v>26</v>
      </c>
      <c r="H596" t="s">
        <v>27</v>
      </c>
      <c r="I596">
        <v>19753</v>
      </c>
      <c r="J596">
        <v>3</v>
      </c>
      <c r="K596" t="s">
        <v>20</v>
      </c>
      <c r="L596">
        <v>3523.72</v>
      </c>
    </row>
    <row r="597" spans="1:12" x14ac:dyDescent="0.3">
      <c r="A597" t="s">
        <v>956</v>
      </c>
      <c r="B597" t="s">
        <v>673</v>
      </c>
      <c r="C597" t="s">
        <v>44</v>
      </c>
      <c r="D597" t="s">
        <v>23</v>
      </c>
      <c r="E597" t="s">
        <v>129</v>
      </c>
      <c r="F597" t="s">
        <v>17</v>
      </c>
      <c r="G597" t="s">
        <v>104</v>
      </c>
      <c r="H597" t="s">
        <v>105</v>
      </c>
      <c r="I597">
        <v>13118</v>
      </c>
      <c r="J597">
        <v>8</v>
      </c>
      <c r="K597" t="s">
        <v>34</v>
      </c>
      <c r="L597">
        <v>1225.07</v>
      </c>
    </row>
    <row r="598" spans="1:12" x14ac:dyDescent="0.3">
      <c r="A598" t="s">
        <v>957</v>
      </c>
      <c r="B598" t="s">
        <v>79</v>
      </c>
      <c r="C598" t="s">
        <v>91</v>
      </c>
      <c r="D598" t="s">
        <v>38</v>
      </c>
      <c r="E598" t="s">
        <v>39</v>
      </c>
      <c r="F598" t="s">
        <v>17</v>
      </c>
      <c r="G598" t="s">
        <v>76</v>
      </c>
      <c r="H598" t="s">
        <v>77</v>
      </c>
      <c r="I598">
        <v>19374</v>
      </c>
      <c r="J598">
        <v>3</v>
      </c>
      <c r="K598" t="s">
        <v>34</v>
      </c>
      <c r="L598">
        <v>3925.33</v>
      </c>
    </row>
    <row r="599" spans="1:12" x14ac:dyDescent="0.3">
      <c r="A599" t="s">
        <v>958</v>
      </c>
      <c r="B599" t="s">
        <v>715</v>
      </c>
      <c r="C599" t="s">
        <v>31</v>
      </c>
      <c r="D599" t="s">
        <v>15</v>
      </c>
      <c r="E599" t="s">
        <v>73</v>
      </c>
      <c r="F599" t="s">
        <v>25</v>
      </c>
      <c r="G599" t="s">
        <v>40</v>
      </c>
      <c r="H599" t="s">
        <v>41</v>
      </c>
      <c r="I599">
        <v>33689</v>
      </c>
      <c r="J599">
        <v>8</v>
      </c>
      <c r="K599" t="s">
        <v>53</v>
      </c>
      <c r="L599">
        <v>8125.43</v>
      </c>
    </row>
    <row r="600" spans="1:12" x14ac:dyDescent="0.3">
      <c r="A600" t="s">
        <v>959</v>
      </c>
      <c r="B600" t="s">
        <v>960</v>
      </c>
      <c r="C600" t="s">
        <v>44</v>
      </c>
      <c r="D600" t="s">
        <v>15</v>
      </c>
      <c r="E600" t="s">
        <v>154</v>
      </c>
      <c r="F600" t="s">
        <v>46</v>
      </c>
      <c r="G600" t="s">
        <v>47</v>
      </c>
      <c r="H600" t="s">
        <v>48</v>
      </c>
      <c r="I600">
        <v>8028</v>
      </c>
      <c r="J600">
        <v>3</v>
      </c>
      <c r="K600" t="s">
        <v>28</v>
      </c>
      <c r="L600">
        <v>2076.66</v>
      </c>
    </row>
    <row r="601" spans="1:12" x14ac:dyDescent="0.3">
      <c r="A601" t="s">
        <v>961</v>
      </c>
      <c r="B601" t="s">
        <v>914</v>
      </c>
      <c r="C601" t="s">
        <v>91</v>
      </c>
      <c r="D601" t="s">
        <v>23</v>
      </c>
      <c r="E601" t="s">
        <v>129</v>
      </c>
      <c r="F601" t="s">
        <v>25</v>
      </c>
      <c r="G601" t="s">
        <v>40</v>
      </c>
      <c r="H601" t="s">
        <v>41</v>
      </c>
      <c r="I601">
        <v>8413</v>
      </c>
      <c r="J601">
        <v>3</v>
      </c>
      <c r="K601" t="s">
        <v>34</v>
      </c>
      <c r="L601">
        <v>999.94</v>
      </c>
    </row>
    <row r="602" spans="1:12" x14ac:dyDescent="0.3">
      <c r="A602" t="s">
        <v>962</v>
      </c>
      <c r="B602" t="s">
        <v>963</v>
      </c>
      <c r="C602" t="s">
        <v>66</v>
      </c>
      <c r="D602" t="s">
        <v>15</v>
      </c>
      <c r="E602" t="s">
        <v>154</v>
      </c>
      <c r="F602" t="s">
        <v>25</v>
      </c>
      <c r="G602" t="s">
        <v>40</v>
      </c>
      <c r="H602" t="s">
        <v>41</v>
      </c>
      <c r="I602">
        <v>18429</v>
      </c>
      <c r="J602">
        <v>2</v>
      </c>
      <c r="K602" t="s">
        <v>28</v>
      </c>
      <c r="L602">
        <v>1686.02</v>
      </c>
    </row>
    <row r="603" spans="1:12" x14ac:dyDescent="0.3">
      <c r="A603" t="s">
        <v>964</v>
      </c>
      <c r="B603" t="s">
        <v>712</v>
      </c>
      <c r="C603" t="s">
        <v>56</v>
      </c>
      <c r="D603" t="s">
        <v>15</v>
      </c>
      <c r="E603" t="s">
        <v>16</v>
      </c>
      <c r="F603" t="s">
        <v>25</v>
      </c>
      <c r="G603" t="s">
        <v>57</v>
      </c>
      <c r="H603" t="s">
        <v>58</v>
      </c>
      <c r="I603">
        <v>42679</v>
      </c>
      <c r="J603">
        <v>1</v>
      </c>
      <c r="K603" t="s">
        <v>49</v>
      </c>
      <c r="L603">
        <v>10612.62</v>
      </c>
    </row>
    <row r="604" spans="1:12" x14ac:dyDescent="0.3">
      <c r="A604" t="s">
        <v>965</v>
      </c>
      <c r="B604" t="s">
        <v>215</v>
      </c>
      <c r="C604" t="s">
        <v>72</v>
      </c>
      <c r="D604" t="s">
        <v>23</v>
      </c>
      <c r="E604" t="s">
        <v>82</v>
      </c>
      <c r="F604" t="s">
        <v>17</v>
      </c>
      <c r="G604" t="s">
        <v>104</v>
      </c>
      <c r="H604" t="s">
        <v>105</v>
      </c>
      <c r="I604">
        <v>8340</v>
      </c>
      <c r="J604">
        <v>4</v>
      </c>
      <c r="K604" t="s">
        <v>49</v>
      </c>
      <c r="L604">
        <v>2191.39</v>
      </c>
    </row>
    <row r="605" spans="1:12" x14ac:dyDescent="0.3">
      <c r="A605" t="s">
        <v>966</v>
      </c>
      <c r="B605" t="s">
        <v>210</v>
      </c>
      <c r="C605" t="s">
        <v>56</v>
      </c>
      <c r="D605" t="s">
        <v>23</v>
      </c>
      <c r="E605" t="s">
        <v>82</v>
      </c>
      <c r="F605" t="s">
        <v>25</v>
      </c>
      <c r="G605" t="s">
        <v>40</v>
      </c>
      <c r="H605" t="s">
        <v>41</v>
      </c>
      <c r="I605">
        <v>30958</v>
      </c>
      <c r="J605">
        <v>9</v>
      </c>
      <c r="K605" t="s">
        <v>28</v>
      </c>
      <c r="L605">
        <v>2665.17</v>
      </c>
    </row>
    <row r="606" spans="1:12" x14ac:dyDescent="0.3">
      <c r="A606" t="s">
        <v>967</v>
      </c>
      <c r="B606" t="s">
        <v>751</v>
      </c>
      <c r="C606" t="s">
        <v>56</v>
      </c>
      <c r="D606" t="s">
        <v>15</v>
      </c>
      <c r="E606" t="s">
        <v>154</v>
      </c>
      <c r="F606" t="s">
        <v>46</v>
      </c>
      <c r="G606" t="s">
        <v>87</v>
      </c>
      <c r="H606" t="s">
        <v>88</v>
      </c>
      <c r="I606">
        <v>19938</v>
      </c>
      <c r="J606">
        <v>10</v>
      </c>
      <c r="K606" t="s">
        <v>49</v>
      </c>
      <c r="L606">
        <v>3509.37</v>
      </c>
    </row>
    <row r="607" spans="1:12" x14ac:dyDescent="0.3">
      <c r="A607" t="s">
        <v>968</v>
      </c>
      <c r="B607" t="s">
        <v>749</v>
      </c>
      <c r="C607" t="s">
        <v>66</v>
      </c>
      <c r="D607" t="s">
        <v>32</v>
      </c>
      <c r="E607" t="s">
        <v>33</v>
      </c>
      <c r="F607" t="s">
        <v>25</v>
      </c>
      <c r="G607" t="s">
        <v>40</v>
      </c>
      <c r="H607" t="s">
        <v>41</v>
      </c>
      <c r="I607">
        <v>1358</v>
      </c>
      <c r="J607">
        <v>10</v>
      </c>
      <c r="K607" t="s">
        <v>28</v>
      </c>
      <c r="L607">
        <v>154.08000000000001</v>
      </c>
    </row>
    <row r="608" spans="1:12" x14ac:dyDescent="0.3">
      <c r="A608" t="s">
        <v>969</v>
      </c>
      <c r="B608" t="s">
        <v>162</v>
      </c>
      <c r="C608" t="s">
        <v>72</v>
      </c>
      <c r="D608" t="s">
        <v>15</v>
      </c>
      <c r="E608" t="s">
        <v>154</v>
      </c>
      <c r="F608" t="s">
        <v>17</v>
      </c>
      <c r="G608" t="s">
        <v>76</v>
      </c>
      <c r="H608" t="s">
        <v>77</v>
      </c>
      <c r="I608">
        <v>26051</v>
      </c>
      <c r="J608">
        <v>9</v>
      </c>
      <c r="K608" t="s">
        <v>53</v>
      </c>
      <c r="L608">
        <v>4650.26</v>
      </c>
    </row>
    <row r="609" spans="1:12" x14ac:dyDescent="0.3">
      <c r="A609" t="s">
        <v>970</v>
      </c>
      <c r="B609" t="s">
        <v>69</v>
      </c>
      <c r="C609" t="s">
        <v>31</v>
      </c>
      <c r="D609" t="s">
        <v>15</v>
      </c>
      <c r="E609" t="s">
        <v>16</v>
      </c>
      <c r="F609" t="s">
        <v>17</v>
      </c>
      <c r="G609" t="s">
        <v>104</v>
      </c>
      <c r="H609" t="s">
        <v>105</v>
      </c>
      <c r="I609">
        <v>6510</v>
      </c>
      <c r="J609">
        <v>1</v>
      </c>
      <c r="K609" t="s">
        <v>49</v>
      </c>
      <c r="L609">
        <v>1320.01</v>
      </c>
    </row>
    <row r="610" spans="1:12" x14ac:dyDescent="0.3">
      <c r="A610" t="s">
        <v>971</v>
      </c>
      <c r="B610" t="s">
        <v>450</v>
      </c>
      <c r="C610" t="s">
        <v>91</v>
      </c>
      <c r="D610" t="s">
        <v>38</v>
      </c>
      <c r="E610" t="s">
        <v>39</v>
      </c>
      <c r="F610" t="s">
        <v>17</v>
      </c>
      <c r="G610" t="s">
        <v>18</v>
      </c>
      <c r="H610" t="s">
        <v>19</v>
      </c>
      <c r="I610">
        <v>51008</v>
      </c>
      <c r="J610">
        <v>10</v>
      </c>
      <c r="K610" t="s">
        <v>49</v>
      </c>
      <c r="L610">
        <v>11787.06</v>
      </c>
    </row>
    <row r="611" spans="1:12" x14ac:dyDescent="0.3">
      <c r="A611" t="s">
        <v>972</v>
      </c>
      <c r="B611" t="s">
        <v>778</v>
      </c>
      <c r="C611" t="s">
        <v>121</v>
      </c>
      <c r="D611" t="s">
        <v>23</v>
      </c>
      <c r="E611" t="s">
        <v>82</v>
      </c>
      <c r="F611" t="s">
        <v>17</v>
      </c>
      <c r="G611" t="s">
        <v>76</v>
      </c>
      <c r="H611" t="s">
        <v>77</v>
      </c>
      <c r="I611">
        <v>33580</v>
      </c>
      <c r="J611">
        <v>7</v>
      </c>
      <c r="K611" t="s">
        <v>49</v>
      </c>
      <c r="L611">
        <v>6622.65</v>
      </c>
    </row>
    <row r="612" spans="1:12" x14ac:dyDescent="0.3">
      <c r="A612" t="s">
        <v>973</v>
      </c>
      <c r="B612" t="s">
        <v>495</v>
      </c>
      <c r="C612" t="s">
        <v>56</v>
      </c>
      <c r="D612" t="s">
        <v>23</v>
      </c>
      <c r="E612" t="s">
        <v>24</v>
      </c>
      <c r="F612" t="s">
        <v>25</v>
      </c>
      <c r="G612" t="s">
        <v>26</v>
      </c>
      <c r="H612" t="s">
        <v>27</v>
      </c>
      <c r="I612">
        <v>31250</v>
      </c>
      <c r="J612">
        <v>4</v>
      </c>
      <c r="K612" t="s">
        <v>49</v>
      </c>
      <c r="L612">
        <v>5055.0600000000004</v>
      </c>
    </row>
    <row r="613" spans="1:12" x14ac:dyDescent="0.3">
      <c r="A613" t="s">
        <v>974</v>
      </c>
      <c r="B613" t="s">
        <v>387</v>
      </c>
      <c r="C613" t="s">
        <v>121</v>
      </c>
      <c r="D613" t="s">
        <v>38</v>
      </c>
      <c r="E613" t="s">
        <v>67</v>
      </c>
      <c r="F613" t="s">
        <v>46</v>
      </c>
      <c r="G613" t="s">
        <v>94</v>
      </c>
      <c r="H613" t="s">
        <v>95</v>
      </c>
      <c r="I613">
        <v>4550</v>
      </c>
      <c r="J613">
        <v>3</v>
      </c>
      <c r="K613" t="s">
        <v>34</v>
      </c>
      <c r="L613">
        <v>908.83</v>
      </c>
    </row>
    <row r="614" spans="1:12" x14ac:dyDescent="0.3">
      <c r="A614" t="s">
        <v>975</v>
      </c>
      <c r="B614" t="s">
        <v>472</v>
      </c>
      <c r="C614" t="s">
        <v>63</v>
      </c>
      <c r="D614" t="s">
        <v>38</v>
      </c>
      <c r="E614" t="s">
        <v>67</v>
      </c>
      <c r="F614" t="s">
        <v>17</v>
      </c>
      <c r="G614" t="s">
        <v>76</v>
      </c>
      <c r="H614" t="s">
        <v>77</v>
      </c>
      <c r="I614">
        <v>14048</v>
      </c>
      <c r="J614">
        <v>2</v>
      </c>
      <c r="K614" t="s">
        <v>28</v>
      </c>
      <c r="L614">
        <v>2080.37</v>
      </c>
    </row>
    <row r="615" spans="1:12" x14ac:dyDescent="0.3">
      <c r="A615" t="s">
        <v>976</v>
      </c>
      <c r="B615" t="s">
        <v>390</v>
      </c>
      <c r="C615" t="s">
        <v>31</v>
      </c>
      <c r="D615" t="s">
        <v>38</v>
      </c>
      <c r="E615" t="s">
        <v>52</v>
      </c>
      <c r="F615" t="s">
        <v>25</v>
      </c>
      <c r="G615" t="s">
        <v>57</v>
      </c>
      <c r="H615" t="s">
        <v>58</v>
      </c>
      <c r="I615">
        <v>52512</v>
      </c>
      <c r="J615">
        <v>3</v>
      </c>
      <c r="K615" t="s">
        <v>49</v>
      </c>
      <c r="L615">
        <v>12058.25</v>
      </c>
    </row>
    <row r="616" spans="1:12" x14ac:dyDescent="0.3">
      <c r="A616" t="s">
        <v>977</v>
      </c>
      <c r="B616" t="s">
        <v>450</v>
      </c>
      <c r="C616" t="s">
        <v>91</v>
      </c>
      <c r="D616" t="s">
        <v>23</v>
      </c>
      <c r="E616" t="s">
        <v>129</v>
      </c>
      <c r="F616" t="s">
        <v>46</v>
      </c>
      <c r="G616" t="s">
        <v>87</v>
      </c>
      <c r="H616" t="s">
        <v>88</v>
      </c>
      <c r="I616">
        <v>24546</v>
      </c>
      <c r="J616">
        <v>5</v>
      </c>
      <c r="K616" t="s">
        <v>20</v>
      </c>
      <c r="L616">
        <v>6400.89</v>
      </c>
    </row>
    <row r="617" spans="1:12" x14ac:dyDescent="0.3">
      <c r="A617" t="s">
        <v>978</v>
      </c>
      <c r="B617" t="s">
        <v>443</v>
      </c>
      <c r="C617" t="s">
        <v>31</v>
      </c>
      <c r="D617" t="s">
        <v>32</v>
      </c>
      <c r="E617" t="s">
        <v>33</v>
      </c>
      <c r="F617" t="s">
        <v>17</v>
      </c>
      <c r="G617" t="s">
        <v>18</v>
      </c>
      <c r="H617" t="s">
        <v>19</v>
      </c>
      <c r="I617">
        <v>77717</v>
      </c>
      <c r="J617">
        <v>3</v>
      </c>
      <c r="K617" t="s">
        <v>28</v>
      </c>
      <c r="L617">
        <v>15277.87</v>
      </c>
    </row>
    <row r="618" spans="1:12" x14ac:dyDescent="0.3">
      <c r="A618" t="s">
        <v>979</v>
      </c>
      <c r="B618" t="s">
        <v>369</v>
      </c>
      <c r="C618" t="s">
        <v>31</v>
      </c>
      <c r="D618" t="s">
        <v>23</v>
      </c>
      <c r="E618" t="s">
        <v>129</v>
      </c>
      <c r="F618" t="s">
        <v>25</v>
      </c>
      <c r="G618" t="s">
        <v>26</v>
      </c>
      <c r="H618" t="s">
        <v>27</v>
      </c>
      <c r="I618">
        <v>26869</v>
      </c>
      <c r="J618">
        <v>6</v>
      </c>
      <c r="K618" t="s">
        <v>28</v>
      </c>
      <c r="L618">
        <v>6667.94</v>
      </c>
    </row>
    <row r="619" spans="1:12" x14ac:dyDescent="0.3">
      <c r="A619" t="s">
        <v>980</v>
      </c>
      <c r="B619" t="s">
        <v>281</v>
      </c>
      <c r="C619" t="s">
        <v>14</v>
      </c>
      <c r="D619" t="s">
        <v>23</v>
      </c>
      <c r="E619" t="s">
        <v>82</v>
      </c>
      <c r="F619" t="s">
        <v>17</v>
      </c>
      <c r="G619" t="s">
        <v>104</v>
      </c>
      <c r="H619" t="s">
        <v>105</v>
      </c>
      <c r="I619">
        <v>55909</v>
      </c>
      <c r="J619">
        <v>7</v>
      </c>
      <c r="K619" t="s">
        <v>53</v>
      </c>
      <c r="L619">
        <v>7908.21</v>
      </c>
    </row>
    <row r="620" spans="1:12" x14ac:dyDescent="0.3">
      <c r="A620" t="s">
        <v>981</v>
      </c>
      <c r="B620" t="s">
        <v>602</v>
      </c>
      <c r="C620" t="s">
        <v>37</v>
      </c>
      <c r="D620" t="s">
        <v>23</v>
      </c>
      <c r="E620" t="s">
        <v>24</v>
      </c>
      <c r="F620" t="s">
        <v>25</v>
      </c>
      <c r="G620" t="s">
        <v>26</v>
      </c>
      <c r="H620" t="s">
        <v>27</v>
      </c>
      <c r="I620">
        <v>2808</v>
      </c>
      <c r="J620">
        <v>5</v>
      </c>
      <c r="K620" t="s">
        <v>49</v>
      </c>
      <c r="L620">
        <v>644.70000000000005</v>
      </c>
    </row>
    <row r="621" spans="1:12" x14ac:dyDescent="0.3">
      <c r="A621" t="s">
        <v>982</v>
      </c>
      <c r="B621" t="s">
        <v>55</v>
      </c>
      <c r="C621" t="s">
        <v>14</v>
      </c>
      <c r="D621" t="s">
        <v>23</v>
      </c>
      <c r="E621" t="s">
        <v>82</v>
      </c>
      <c r="F621" t="s">
        <v>17</v>
      </c>
      <c r="G621" t="s">
        <v>18</v>
      </c>
      <c r="H621" t="s">
        <v>19</v>
      </c>
      <c r="I621">
        <v>618</v>
      </c>
      <c r="J621">
        <v>7</v>
      </c>
      <c r="K621" t="s">
        <v>34</v>
      </c>
      <c r="L621">
        <v>155.19</v>
      </c>
    </row>
    <row r="622" spans="1:12" x14ac:dyDescent="0.3">
      <c r="A622" t="s">
        <v>983</v>
      </c>
      <c r="B622" t="s">
        <v>413</v>
      </c>
      <c r="C622" t="s">
        <v>72</v>
      </c>
      <c r="D622" t="s">
        <v>32</v>
      </c>
      <c r="E622" t="s">
        <v>33</v>
      </c>
      <c r="F622" t="s">
        <v>17</v>
      </c>
      <c r="G622" t="s">
        <v>76</v>
      </c>
      <c r="H622" t="s">
        <v>77</v>
      </c>
      <c r="I622">
        <v>29454</v>
      </c>
      <c r="J622">
        <v>8</v>
      </c>
      <c r="K622" t="s">
        <v>28</v>
      </c>
      <c r="L622">
        <v>6630.95</v>
      </c>
    </row>
    <row r="623" spans="1:12" x14ac:dyDescent="0.3">
      <c r="A623" t="s">
        <v>984</v>
      </c>
      <c r="B623" t="s">
        <v>985</v>
      </c>
      <c r="C623" t="s">
        <v>37</v>
      </c>
      <c r="D623" t="s">
        <v>23</v>
      </c>
      <c r="E623" t="s">
        <v>24</v>
      </c>
      <c r="F623" t="s">
        <v>46</v>
      </c>
      <c r="G623" t="s">
        <v>47</v>
      </c>
      <c r="H623" t="s">
        <v>48</v>
      </c>
      <c r="I623">
        <v>53972</v>
      </c>
      <c r="J623">
        <v>3</v>
      </c>
      <c r="K623" t="s">
        <v>28</v>
      </c>
      <c r="L623">
        <v>12202.26</v>
      </c>
    </row>
    <row r="624" spans="1:12" x14ac:dyDescent="0.3">
      <c r="A624" t="s">
        <v>986</v>
      </c>
      <c r="B624" t="s">
        <v>204</v>
      </c>
      <c r="C624" t="s">
        <v>37</v>
      </c>
      <c r="D624" t="s">
        <v>23</v>
      </c>
      <c r="E624" t="s">
        <v>24</v>
      </c>
      <c r="F624" t="s">
        <v>25</v>
      </c>
      <c r="G624" t="s">
        <v>40</v>
      </c>
      <c r="H624" t="s">
        <v>41</v>
      </c>
      <c r="I624">
        <v>75184</v>
      </c>
      <c r="J624">
        <v>5</v>
      </c>
      <c r="K624" t="s">
        <v>28</v>
      </c>
      <c r="L624">
        <v>19478.46</v>
      </c>
    </row>
    <row r="625" spans="1:12" x14ac:dyDescent="0.3">
      <c r="A625" t="s">
        <v>987</v>
      </c>
      <c r="B625" t="s">
        <v>988</v>
      </c>
      <c r="C625" t="s">
        <v>37</v>
      </c>
      <c r="D625" t="s">
        <v>15</v>
      </c>
      <c r="E625" t="s">
        <v>16</v>
      </c>
      <c r="F625" t="s">
        <v>25</v>
      </c>
      <c r="G625" t="s">
        <v>26</v>
      </c>
      <c r="H625" t="s">
        <v>27</v>
      </c>
      <c r="I625">
        <v>78828</v>
      </c>
      <c r="J625">
        <v>6</v>
      </c>
      <c r="K625" t="s">
        <v>28</v>
      </c>
      <c r="L625">
        <v>12042.79</v>
      </c>
    </row>
    <row r="626" spans="1:12" x14ac:dyDescent="0.3">
      <c r="A626" t="s">
        <v>989</v>
      </c>
      <c r="B626" t="s">
        <v>180</v>
      </c>
      <c r="C626" t="s">
        <v>121</v>
      </c>
      <c r="D626" t="s">
        <v>38</v>
      </c>
      <c r="E626" t="s">
        <v>52</v>
      </c>
      <c r="F626" t="s">
        <v>46</v>
      </c>
      <c r="G626" t="s">
        <v>87</v>
      </c>
      <c r="H626" t="s">
        <v>88</v>
      </c>
      <c r="I626">
        <v>47497</v>
      </c>
      <c r="J626">
        <v>9</v>
      </c>
      <c r="K626" t="s">
        <v>20</v>
      </c>
      <c r="L626">
        <v>7523.26</v>
      </c>
    </row>
    <row r="627" spans="1:12" x14ac:dyDescent="0.3">
      <c r="A627" t="s">
        <v>990</v>
      </c>
      <c r="B627" t="s">
        <v>381</v>
      </c>
      <c r="C627" t="s">
        <v>56</v>
      </c>
      <c r="D627" t="s">
        <v>32</v>
      </c>
      <c r="E627" t="s">
        <v>116</v>
      </c>
      <c r="F627" t="s">
        <v>46</v>
      </c>
      <c r="G627" t="s">
        <v>47</v>
      </c>
      <c r="H627" t="s">
        <v>48</v>
      </c>
      <c r="I627">
        <v>70412</v>
      </c>
      <c r="J627">
        <v>3</v>
      </c>
      <c r="K627" t="s">
        <v>34</v>
      </c>
      <c r="L627">
        <v>11054.15</v>
      </c>
    </row>
    <row r="628" spans="1:12" x14ac:dyDescent="0.3">
      <c r="A628" t="s">
        <v>991</v>
      </c>
      <c r="B628" t="s">
        <v>381</v>
      </c>
      <c r="C628" t="s">
        <v>44</v>
      </c>
      <c r="D628" t="s">
        <v>38</v>
      </c>
      <c r="E628" t="s">
        <v>39</v>
      </c>
      <c r="F628" t="s">
        <v>25</v>
      </c>
      <c r="G628" t="s">
        <v>57</v>
      </c>
      <c r="H628" t="s">
        <v>58</v>
      </c>
      <c r="I628">
        <v>39641</v>
      </c>
      <c r="J628">
        <v>7</v>
      </c>
      <c r="K628" t="s">
        <v>20</v>
      </c>
      <c r="L628">
        <v>9325.51</v>
      </c>
    </row>
    <row r="629" spans="1:12" x14ac:dyDescent="0.3">
      <c r="A629" t="s">
        <v>992</v>
      </c>
      <c r="B629" t="s">
        <v>612</v>
      </c>
      <c r="C629" t="s">
        <v>66</v>
      </c>
      <c r="D629" t="s">
        <v>15</v>
      </c>
      <c r="E629" t="s">
        <v>154</v>
      </c>
      <c r="F629" t="s">
        <v>17</v>
      </c>
      <c r="G629" t="s">
        <v>18</v>
      </c>
      <c r="H629" t="s">
        <v>19</v>
      </c>
      <c r="I629">
        <v>5778</v>
      </c>
      <c r="J629">
        <v>1</v>
      </c>
      <c r="K629" t="s">
        <v>49</v>
      </c>
      <c r="L629">
        <v>601.27</v>
      </c>
    </row>
    <row r="630" spans="1:12" x14ac:dyDescent="0.3">
      <c r="A630" t="s">
        <v>993</v>
      </c>
      <c r="B630" t="s">
        <v>55</v>
      </c>
      <c r="C630" t="s">
        <v>66</v>
      </c>
      <c r="D630" t="s">
        <v>38</v>
      </c>
      <c r="E630" t="s">
        <v>39</v>
      </c>
      <c r="F630" t="s">
        <v>17</v>
      </c>
      <c r="G630" t="s">
        <v>104</v>
      </c>
      <c r="H630" t="s">
        <v>105</v>
      </c>
      <c r="I630">
        <v>45540</v>
      </c>
      <c r="J630">
        <v>4</v>
      </c>
      <c r="K630" t="s">
        <v>53</v>
      </c>
      <c r="L630">
        <v>11488.21</v>
      </c>
    </row>
    <row r="631" spans="1:12" x14ac:dyDescent="0.3">
      <c r="A631" t="s">
        <v>994</v>
      </c>
      <c r="B631" t="s">
        <v>426</v>
      </c>
      <c r="C631" t="s">
        <v>44</v>
      </c>
      <c r="D631" t="s">
        <v>23</v>
      </c>
      <c r="E631" t="s">
        <v>82</v>
      </c>
      <c r="F631" t="s">
        <v>25</v>
      </c>
      <c r="G631" t="s">
        <v>26</v>
      </c>
      <c r="H631" t="s">
        <v>27</v>
      </c>
      <c r="I631">
        <v>34763</v>
      </c>
      <c r="J631">
        <v>1</v>
      </c>
      <c r="K631" t="s">
        <v>34</v>
      </c>
      <c r="L631">
        <v>2624.62</v>
      </c>
    </row>
    <row r="632" spans="1:12" x14ac:dyDescent="0.3">
      <c r="A632" t="s">
        <v>995</v>
      </c>
      <c r="B632" t="s">
        <v>470</v>
      </c>
      <c r="C632" t="s">
        <v>72</v>
      </c>
      <c r="D632" t="s">
        <v>38</v>
      </c>
      <c r="E632" t="s">
        <v>39</v>
      </c>
      <c r="F632" t="s">
        <v>25</v>
      </c>
      <c r="G632" t="s">
        <v>26</v>
      </c>
      <c r="H632" t="s">
        <v>27</v>
      </c>
      <c r="I632">
        <v>53810</v>
      </c>
      <c r="J632">
        <v>6</v>
      </c>
      <c r="K632" t="s">
        <v>53</v>
      </c>
      <c r="L632">
        <v>11538.38</v>
      </c>
    </row>
    <row r="633" spans="1:12" x14ac:dyDescent="0.3">
      <c r="A633" t="s">
        <v>996</v>
      </c>
      <c r="B633" t="s">
        <v>330</v>
      </c>
      <c r="C633" t="s">
        <v>121</v>
      </c>
      <c r="D633" t="s">
        <v>38</v>
      </c>
      <c r="E633" t="s">
        <v>67</v>
      </c>
      <c r="F633" t="s">
        <v>46</v>
      </c>
      <c r="G633" t="s">
        <v>94</v>
      </c>
      <c r="H633" t="s">
        <v>95</v>
      </c>
      <c r="I633">
        <v>28569</v>
      </c>
      <c r="J633">
        <v>6</v>
      </c>
      <c r="K633" t="s">
        <v>34</v>
      </c>
      <c r="L633">
        <v>3996.09</v>
      </c>
    </row>
    <row r="634" spans="1:12" x14ac:dyDescent="0.3">
      <c r="A634" t="s">
        <v>997</v>
      </c>
      <c r="B634" t="s">
        <v>831</v>
      </c>
      <c r="C634" t="s">
        <v>72</v>
      </c>
      <c r="D634" t="s">
        <v>38</v>
      </c>
      <c r="E634" t="s">
        <v>39</v>
      </c>
      <c r="F634" t="s">
        <v>46</v>
      </c>
      <c r="G634" t="s">
        <v>47</v>
      </c>
      <c r="H634" t="s">
        <v>48</v>
      </c>
      <c r="I634">
        <v>10439</v>
      </c>
      <c r="J634">
        <v>5</v>
      </c>
      <c r="K634" t="s">
        <v>49</v>
      </c>
      <c r="L634">
        <v>1764.05</v>
      </c>
    </row>
    <row r="635" spans="1:12" x14ac:dyDescent="0.3">
      <c r="A635" t="s">
        <v>998</v>
      </c>
      <c r="B635" t="s">
        <v>135</v>
      </c>
      <c r="C635" t="s">
        <v>91</v>
      </c>
      <c r="D635" t="s">
        <v>15</v>
      </c>
      <c r="E635" t="s">
        <v>73</v>
      </c>
      <c r="F635" t="s">
        <v>46</v>
      </c>
      <c r="G635" t="s">
        <v>47</v>
      </c>
      <c r="H635" t="s">
        <v>48</v>
      </c>
      <c r="I635">
        <v>51222</v>
      </c>
      <c r="J635">
        <v>6</v>
      </c>
      <c r="K635" t="s">
        <v>20</v>
      </c>
      <c r="L635">
        <v>13672.52</v>
      </c>
    </row>
    <row r="636" spans="1:12" x14ac:dyDescent="0.3">
      <c r="A636" t="s">
        <v>999</v>
      </c>
      <c r="B636" t="s">
        <v>86</v>
      </c>
      <c r="C636" t="s">
        <v>31</v>
      </c>
      <c r="D636" t="s">
        <v>15</v>
      </c>
      <c r="E636" t="s">
        <v>73</v>
      </c>
      <c r="F636" t="s">
        <v>25</v>
      </c>
      <c r="G636" t="s">
        <v>26</v>
      </c>
      <c r="H636" t="s">
        <v>27</v>
      </c>
      <c r="I636">
        <v>54590</v>
      </c>
      <c r="J636">
        <v>9</v>
      </c>
      <c r="K636" t="s">
        <v>53</v>
      </c>
      <c r="L636">
        <v>10352.26</v>
      </c>
    </row>
    <row r="637" spans="1:12" x14ac:dyDescent="0.3">
      <c r="A637" t="s">
        <v>1000</v>
      </c>
      <c r="B637" t="s">
        <v>245</v>
      </c>
      <c r="C637" t="s">
        <v>91</v>
      </c>
      <c r="D637" t="s">
        <v>15</v>
      </c>
      <c r="E637" t="s">
        <v>16</v>
      </c>
      <c r="F637" t="s">
        <v>46</v>
      </c>
      <c r="G637" t="s">
        <v>87</v>
      </c>
      <c r="H637" t="s">
        <v>88</v>
      </c>
      <c r="I637">
        <v>16922</v>
      </c>
      <c r="J637">
        <v>9</v>
      </c>
      <c r="K637" t="s">
        <v>49</v>
      </c>
      <c r="L637">
        <v>2773.8</v>
      </c>
    </row>
    <row r="638" spans="1:12" x14ac:dyDescent="0.3">
      <c r="A638" t="s">
        <v>1001</v>
      </c>
      <c r="B638" t="s">
        <v>636</v>
      </c>
      <c r="C638" t="s">
        <v>44</v>
      </c>
      <c r="D638" t="s">
        <v>23</v>
      </c>
      <c r="E638" t="s">
        <v>24</v>
      </c>
      <c r="F638" t="s">
        <v>17</v>
      </c>
      <c r="G638" t="s">
        <v>76</v>
      </c>
      <c r="H638" t="s">
        <v>77</v>
      </c>
      <c r="I638">
        <v>72186</v>
      </c>
      <c r="J638">
        <v>6</v>
      </c>
      <c r="K638" t="s">
        <v>28</v>
      </c>
      <c r="L638">
        <v>15324.02</v>
      </c>
    </row>
    <row r="639" spans="1:12" x14ac:dyDescent="0.3">
      <c r="A639" t="s">
        <v>1002</v>
      </c>
      <c r="B639" t="s">
        <v>608</v>
      </c>
      <c r="C639" t="s">
        <v>37</v>
      </c>
      <c r="D639" t="s">
        <v>38</v>
      </c>
      <c r="E639" t="s">
        <v>52</v>
      </c>
      <c r="F639" t="s">
        <v>17</v>
      </c>
      <c r="G639" t="s">
        <v>104</v>
      </c>
      <c r="H639" t="s">
        <v>105</v>
      </c>
      <c r="I639">
        <v>62163</v>
      </c>
      <c r="J639">
        <v>8</v>
      </c>
      <c r="K639" t="s">
        <v>20</v>
      </c>
      <c r="L639">
        <v>13768.4</v>
      </c>
    </row>
    <row r="640" spans="1:12" x14ac:dyDescent="0.3">
      <c r="A640" t="s">
        <v>1003</v>
      </c>
      <c r="B640" t="s">
        <v>162</v>
      </c>
      <c r="C640" t="s">
        <v>121</v>
      </c>
      <c r="D640" t="s">
        <v>15</v>
      </c>
      <c r="E640" t="s">
        <v>73</v>
      </c>
      <c r="F640" t="s">
        <v>25</v>
      </c>
      <c r="G640" t="s">
        <v>40</v>
      </c>
      <c r="H640" t="s">
        <v>41</v>
      </c>
      <c r="I640">
        <v>77966</v>
      </c>
      <c r="J640">
        <v>1</v>
      </c>
      <c r="K640" t="s">
        <v>49</v>
      </c>
      <c r="L640">
        <v>12550.5</v>
      </c>
    </row>
    <row r="641" spans="1:12" x14ac:dyDescent="0.3">
      <c r="A641" t="s">
        <v>1004</v>
      </c>
      <c r="B641" t="s">
        <v>786</v>
      </c>
      <c r="C641" t="s">
        <v>66</v>
      </c>
      <c r="D641" t="s">
        <v>38</v>
      </c>
      <c r="E641" t="s">
        <v>67</v>
      </c>
      <c r="F641" t="s">
        <v>17</v>
      </c>
      <c r="G641" t="s">
        <v>18</v>
      </c>
      <c r="H641" t="s">
        <v>19</v>
      </c>
      <c r="I641">
        <v>10099</v>
      </c>
      <c r="J641">
        <v>9</v>
      </c>
      <c r="K641" t="s">
        <v>28</v>
      </c>
      <c r="L641">
        <v>941.37</v>
      </c>
    </row>
    <row r="642" spans="1:12" x14ac:dyDescent="0.3">
      <c r="A642" t="s">
        <v>1005</v>
      </c>
      <c r="B642" t="s">
        <v>379</v>
      </c>
      <c r="C642" t="s">
        <v>72</v>
      </c>
      <c r="D642" t="s">
        <v>32</v>
      </c>
      <c r="E642" t="s">
        <v>116</v>
      </c>
      <c r="F642" t="s">
        <v>25</v>
      </c>
      <c r="G642" t="s">
        <v>57</v>
      </c>
      <c r="H642" t="s">
        <v>58</v>
      </c>
      <c r="I642">
        <v>48144</v>
      </c>
      <c r="J642">
        <v>3</v>
      </c>
      <c r="K642" t="s">
        <v>34</v>
      </c>
      <c r="L642">
        <v>5120.8999999999996</v>
      </c>
    </row>
    <row r="643" spans="1:12" x14ac:dyDescent="0.3">
      <c r="A643" t="s">
        <v>1006</v>
      </c>
      <c r="B643" t="s">
        <v>326</v>
      </c>
      <c r="C643" t="s">
        <v>37</v>
      </c>
      <c r="D643" t="s">
        <v>23</v>
      </c>
      <c r="E643" t="s">
        <v>82</v>
      </c>
      <c r="F643" t="s">
        <v>46</v>
      </c>
      <c r="G643" t="s">
        <v>47</v>
      </c>
      <c r="H643" t="s">
        <v>48</v>
      </c>
      <c r="I643">
        <v>20614</v>
      </c>
      <c r="J643">
        <v>3</v>
      </c>
      <c r="K643" t="s">
        <v>20</v>
      </c>
      <c r="L643">
        <v>4674.57</v>
      </c>
    </row>
    <row r="644" spans="1:12" x14ac:dyDescent="0.3">
      <c r="A644" t="s">
        <v>1007</v>
      </c>
      <c r="B644" t="s">
        <v>413</v>
      </c>
      <c r="C644" t="s">
        <v>63</v>
      </c>
      <c r="D644" t="s">
        <v>32</v>
      </c>
      <c r="E644" t="s">
        <v>45</v>
      </c>
      <c r="F644" t="s">
        <v>46</v>
      </c>
      <c r="G644" t="s">
        <v>87</v>
      </c>
      <c r="H644" t="s">
        <v>88</v>
      </c>
      <c r="I644">
        <v>62617</v>
      </c>
      <c r="J644">
        <v>2</v>
      </c>
      <c r="K644" t="s">
        <v>49</v>
      </c>
      <c r="L644">
        <v>15035.34</v>
      </c>
    </row>
    <row r="645" spans="1:12" x14ac:dyDescent="0.3">
      <c r="A645" t="s">
        <v>1008</v>
      </c>
      <c r="B645" t="s">
        <v>587</v>
      </c>
      <c r="C645" t="s">
        <v>44</v>
      </c>
      <c r="D645" t="s">
        <v>32</v>
      </c>
      <c r="E645" t="s">
        <v>45</v>
      </c>
      <c r="F645" t="s">
        <v>17</v>
      </c>
      <c r="G645" t="s">
        <v>18</v>
      </c>
      <c r="H645" t="s">
        <v>19</v>
      </c>
      <c r="I645">
        <v>592</v>
      </c>
      <c r="J645">
        <v>5</v>
      </c>
      <c r="K645" t="s">
        <v>20</v>
      </c>
      <c r="L645">
        <v>97.65</v>
      </c>
    </row>
    <row r="646" spans="1:12" x14ac:dyDescent="0.3">
      <c r="A646" t="s">
        <v>1009</v>
      </c>
      <c r="B646" t="s">
        <v>135</v>
      </c>
      <c r="C646" t="s">
        <v>14</v>
      </c>
      <c r="D646" t="s">
        <v>15</v>
      </c>
      <c r="E646" t="s">
        <v>73</v>
      </c>
      <c r="F646" t="s">
        <v>17</v>
      </c>
      <c r="G646" t="s">
        <v>104</v>
      </c>
      <c r="H646" t="s">
        <v>105</v>
      </c>
      <c r="I646">
        <v>4880</v>
      </c>
      <c r="J646">
        <v>10</v>
      </c>
      <c r="K646" t="s">
        <v>20</v>
      </c>
      <c r="L646">
        <v>1336.08</v>
      </c>
    </row>
    <row r="647" spans="1:12" x14ac:dyDescent="0.3">
      <c r="A647" t="s">
        <v>1010</v>
      </c>
      <c r="B647" t="s">
        <v>194</v>
      </c>
      <c r="C647" t="s">
        <v>91</v>
      </c>
      <c r="D647" t="s">
        <v>15</v>
      </c>
      <c r="E647" t="s">
        <v>154</v>
      </c>
      <c r="F647" t="s">
        <v>17</v>
      </c>
      <c r="G647" t="s">
        <v>76</v>
      </c>
      <c r="H647" t="s">
        <v>77</v>
      </c>
      <c r="I647">
        <v>7500</v>
      </c>
      <c r="J647">
        <v>7</v>
      </c>
      <c r="K647" t="s">
        <v>53</v>
      </c>
      <c r="L647">
        <v>872.61</v>
      </c>
    </row>
    <row r="648" spans="1:12" x14ac:dyDescent="0.3">
      <c r="A648" t="s">
        <v>1011</v>
      </c>
      <c r="B648" t="s">
        <v>166</v>
      </c>
      <c r="C648" t="s">
        <v>14</v>
      </c>
      <c r="D648" t="s">
        <v>15</v>
      </c>
      <c r="E648" t="s">
        <v>16</v>
      </c>
      <c r="F648" t="s">
        <v>17</v>
      </c>
      <c r="G648" t="s">
        <v>104</v>
      </c>
      <c r="H648" t="s">
        <v>105</v>
      </c>
      <c r="I648">
        <v>67393</v>
      </c>
      <c r="J648">
        <v>5</v>
      </c>
      <c r="K648" t="s">
        <v>53</v>
      </c>
      <c r="L648">
        <v>11293.19</v>
      </c>
    </row>
    <row r="649" spans="1:12" x14ac:dyDescent="0.3">
      <c r="A649" t="s">
        <v>1012</v>
      </c>
      <c r="B649" t="s">
        <v>443</v>
      </c>
      <c r="C649" t="s">
        <v>72</v>
      </c>
      <c r="D649" t="s">
        <v>38</v>
      </c>
      <c r="E649" t="s">
        <v>52</v>
      </c>
      <c r="F649" t="s">
        <v>25</v>
      </c>
      <c r="G649" t="s">
        <v>26</v>
      </c>
      <c r="H649" t="s">
        <v>27</v>
      </c>
      <c r="I649">
        <v>45618</v>
      </c>
      <c r="J649">
        <v>5</v>
      </c>
      <c r="K649" t="s">
        <v>49</v>
      </c>
      <c r="L649">
        <v>8375.33</v>
      </c>
    </row>
    <row r="650" spans="1:12" x14ac:dyDescent="0.3">
      <c r="A650" t="s">
        <v>1013</v>
      </c>
      <c r="B650" t="s">
        <v>1014</v>
      </c>
      <c r="C650" t="s">
        <v>44</v>
      </c>
      <c r="D650" t="s">
        <v>38</v>
      </c>
      <c r="E650" t="s">
        <v>39</v>
      </c>
      <c r="F650" t="s">
        <v>46</v>
      </c>
      <c r="G650" t="s">
        <v>47</v>
      </c>
      <c r="H650" t="s">
        <v>48</v>
      </c>
      <c r="I650">
        <v>937</v>
      </c>
      <c r="J650">
        <v>4</v>
      </c>
      <c r="K650" t="s">
        <v>28</v>
      </c>
      <c r="L650">
        <v>207.82</v>
      </c>
    </row>
    <row r="651" spans="1:12" x14ac:dyDescent="0.3">
      <c r="A651" t="s">
        <v>1015</v>
      </c>
      <c r="B651" t="s">
        <v>687</v>
      </c>
      <c r="C651" t="s">
        <v>37</v>
      </c>
      <c r="D651" t="s">
        <v>38</v>
      </c>
      <c r="E651" t="s">
        <v>39</v>
      </c>
      <c r="F651" t="s">
        <v>17</v>
      </c>
      <c r="G651" t="s">
        <v>76</v>
      </c>
      <c r="H651" t="s">
        <v>77</v>
      </c>
      <c r="I651">
        <v>31746</v>
      </c>
      <c r="J651">
        <v>2</v>
      </c>
      <c r="K651" t="s">
        <v>28</v>
      </c>
      <c r="L651">
        <v>6368.28</v>
      </c>
    </row>
    <row r="652" spans="1:12" x14ac:dyDescent="0.3">
      <c r="A652" t="s">
        <v>1016</v>
      </c>
      <c r="B652" t="s">
        <v>478</v>
      </c>
      <c r="C652" t="s">
        <v>44</v>
      </c>
      <c r="D652" t="s">
        <v>38</v>
      </c>
      <c r="E652" t="s">
        <v>39</v>
      </c>
      <c r="F652" t="s">
        <v>17</v>
      </c>
      <c r="G652" t="s">
        <v>18</v>
      </c>
      <c r="H652" t="s">
        <v>19</v>
      </c>
      <c r="I652">
        <v>10443</v>
      </c>
      <c r="J652">
        <v>6</v>
      </c>
      <c r="K652" t="s">
        <v>20</v>
      </c>
      <c r="L652">
        <v>2900.27</v>
      </c>
    </row>
    <row r="653" spans="1:12" x14ac:dyDescent="0.3">
      <c r="A653" t="s">
        <v>1017</v>
      </c>
      <c r="B653" t="s">
        <v>614</v>
      </c>
      <c r="C653" t="s">
        <v>14</v>
      </c>
      <c r="D653" t="s">
        <v>32</v>
      </c>
      <c r="E653" t="s">
        <v>45</v>
      </c>
      <c r="F653" t="s">
        <v>17</v>
      </c>
      <c r="G653" t="s">
        <v>18</v>
      </c>
      <c r="H653" t="s">
        <v>19</v>
      </c>
      <c r="I653">
        <v>13448</v>
      </c>
      <c r="J653">
        <v>3</v>
      </c>
      <c r="K653" t="s">
        <v>34</v>
      </c>
      <c r="L653">
        <v>2882.81</v>
      </c>
    </row>
    <row r="654" spans="1:12" x14ac:dyDescent="0.3">
      <c r="A654" t="s">
        <v>1018</v>
      </c>
      <c r="B654" t="s">
        <v>149</v>
      </c>
      <c r="C654" t="s">
        <v>14</v>
      </c>
      <c r="D654" t="s">
        <v>38</v>
      </c>
      <c r="E654" t="s">
        <v>52</v>
      </c>
      <c r="F654" t="s">
        <v>46</v>
      </c>
      <c r="G654" t="s">
        <v>47</v>
      </c>
      <c r="H654" t="s">
        <v>48</v>
      </c>
      <c r="I654">
        <v>62249</v>
      </c>
      <c r="J654">
        <v>9</v>
      </c>
      <c r="K654" t="s">
        <v>34</v>
      </c>
      <c r="L654">
        <v>13065.05</v>
      </c>
    </row>
    <row r="655" spans="1:12" x14ac:dyDescent="0.3">
      <c r="A655" t="s">
        <v>1019</v>
      </c>
      <c r="B655" t="s">
        <v>358</v>
      </c>
      <c r="C655" t="s">
        <v>66</v>
      </c>
      <c r="D655" t="s">
        <v>38</v>
      </c>
      <c r="E655" t="s">
        <v>67</v>
      </c>
      <c r="F655" t="s">
        <v>46</v>
      </c>
      <c r="G655" t="s">
        <v>87</v>
      </c>
      <c r="H655" t="s">
        <v>88</v>
      </c>
      <c r="I655">
        <v>5209</v>
      </c>
      <c r="J655">
        <v>10</v>
      </c>
      <c r="K655" t="s">
        <v>28</v>
      </c>
      <c r="L655">
        <v>1070.3399999999999</v>
      </c>
    </row>
    <row r="656" spans="1:12" x14ac:dyDescent="0.3">
      <c r="A656" t="s">
        <v>1020</v>
      </c>
      <c r="B656" t="s">
        <v>162</v>
      </c>
      <c r="C656" t="s">
        <v>31</v>
      </c>
      <c r="D656" t="s">
        <v>23</v>
      </c>
      <c r="E656" t="s">
        <v>129</v>
      </c>
      <c r="F656" t="s">
        <v>25</v>
      </c>
      <c r="G656" t="s">
        <v>57</v>
      </c>
      <c r="H656" t="s">
        <v>58</v>
      </c>
      <c r="I656">
        <v>26372</v>
      </c>
      <c r="J656">
        <v>2</v>
      </c>
      <c r="K656" t="s">
        <v>53</v>
      </c>
      <c r="L656">
        <v>1962.61</v>
      </c>
    </row>
    <row r="657" spans="1:12" x14ac:dyDescent="0.3">
      <c r="A657" t="s">
        <v>1021</v>
      </c>
      <c r="B657" t="s">
        <v>304</v>
      </c>
      <c r="C657" t="s">
        <v>44</v>
      </c>
      <c r="D657" t="s">
        <v>23</v>
      </c>
      <c r="E657" t="s">
        <v>129</v>
      </c>
      <c r="F657" t="s">
        <v>46</v>
      </c>
      <c r="G657" t="s">
        <v>47</v>
      </c>
      <c r="H657" t="s">
        <v>48</v>
      </c>
      <c r="I657">
        <v>39829</v>
      </c>
      <c r="J657">
        <v>6</v>
      </c>
      <c r="K657" t="s">
        <v>34</v>
      </c>
      <c r="L657">
        <v>8152.94</v>
      </c>
    </row>
    <row r="658" spans="1:12" x14ac:dyDescent="0.3">
      <c r="A658" t="s">
        <v>1022</v>
      </c>
      <c r="B658" t="s">
        <v>271</v>
      </c>
      <c r="C658" t="s">
        <v>121</v>
      </c>
      <c r="D658" t="s">
        <v>32</v>
      </c>
      <c r="E658" t="s">
        <v>33</v>
      </c>
      <c r="F658" t="s">
        <v>46</v>
      </c>
      <c r="G658" t="s">
        <v>47</v>
      </c>
      <c r="H658" t="s">
        <v>48</v>
      </c>
      <c r="I658">
        <v>52655</v>
      </c>
      <c r="J658">
        <v>5</v>
      </c>
      <c r="K658" t="s">
        <v>53</v>
      </c>
      <c r="L658">
        <v>5126.95</v>
      </c>
    </row>
    <row r="659" spans="1:12" x14ac:dyDescent="0.3">
      <c r="A659" t="s">
        <v>1023</v>
      </c>
      <c r="B659" t="s">
        <v>430</v>
      </c>
      <c r="C659" t="s">
        <v>14</v>
      </c>
      <c r="D659" t="s">
        <v>15</v>
      </c>
      <c r="E659" t="s">
        <v>73</v>
      </c>
      <c r="F659" t="s">
        <v>46</v>
      </c>
      <c r="G659" t="s">
        <v>87</v>
      </c>
      <c r="H659" t="s">
        <v>88</v>
      </c>
      <c r="I659">
        <v>73560</v>
      </c>
      <c r="J659">
        <v>6</v>
      </c>
      <c r="K659" t="s">
        <v>53</v>
      </c>
      <c r="L659">
        <v>6223.76</v>
      </c>
    </row>
    <row r="660" spans="1:12" x14ac:dyDescent="0.3">
      <c r="A660" t="s">
        <v>1024</v>
      </c>
      <c r="B660" t="s">
        <v>740</v>
      </c>
      <c r="C660" t="s">
        <v>31</v>
      </c>
      <c r="D660" t="s">
        <v>23</v>
      </c>
      <c r="E660" t="s">
        <v>82</v>
      </c>
      <c r="F660" t="s">
        <v>25</v>
      </c>
      <c r="G660" t="s">
        <v>57</v>
      </c>
      <c r="H660" t="s">
        <v>58</v>
      </c>
      <c r="I660">
        <v>73646</v>
      </c>
      <c r="J660">
        <v>10</v>
      </c>
      <c r="K660" t="s">
        <v>28</v>
      </c>
      <c r="L660">
        <v>8035.48</v>
      </c>
    </row>
    <row r="661" spans="1:12" x14ac:dyDescent="0.3">
      <c r="A661" t="s">
        <v>1025</v>
      </c>
      <c r="B661" t="s">
        <v>86</v>
      </c>
      <c r="C661" t="s">
        <v>14</v>
      </c>
      <c r="D661" t="s">
        <v>23</v>
      </c>
      <c r="E661" t="s">
        <v>82</v>
      </c>
      <c r="F661" t="s">
        <v>17</v>
      </c>
      <c r="G661" t="s">
        <v>18</v>
      </c>
      <c r="H661" t="s">
        <v>19</v>
      </c>
      <c r="I661">
        <v>16665</v>
      </c>
      <c r="J661">
        <v>7</v>
      </c>
      <c r="K661" t="s">
        <v>28</v>
      </c>
      <c r="L661">
        <v>1669.46</v>
      </c>
    </row>
    <row r="662" spans="1:12" x14ac:dyDescent="0.3">
      <c r="A662" t="s">
        <v>1026</v>
      </c>
      <c r="B662" t="s">
        <v>1027</v>
      </c>
      <c r="C662" t="s">
        <v>121</v>
      </c>
      <c r="D662" t="s">
        <v>23</v>
      </c>
      <c r="E662" t="s">
        <v>82</v>
      </c>
      <c r="F662" t="s">
        <v>17</v>
      </c>
      <c r="G662" t="s">
        <v>104</v>
      </c>
      <c r="H662" t="s">
        <v>105</v>
      </c>
      <c r="I662">
        <v>79994</v>
      </c>
      <c r="J662">
        <v>4</v>
      </c>
      <c r="K662" t="s">
        <v>49</v>
      </c>
      <c r="L662">
        <v>14194.71</v>
      </c>
    </row>
    <row r="663" spans="1:12" x14ac:dyDescent="0.3">
      <c r="A663" t="s">
        <v>1028</v>
      </c>
      <c r="B663" t="s">
        <v>1029</v>
      </c>
      <c r="C663" t="s">
        <v>44</v>
      </c>
      <c r="D663" t="s">
        <v>38</v>
      </c>
      <c r="E663" t="s">
        <v>39</v>
      </c>
      <c r="F663" t="s">
        <v>17</v>
      </c>
      <c r="G663" t="s">
        <v>76</v>
      </c>
      <c r="H663" t="s">
        <v>77</v>
      </c>
      <c r="I663">
        <v>10412</v>
      </c>
      <c r="J663">
        <v>3</v>
      </c>
      <c r="K663" t="s">
        <v>53</v>
      </c>
      <c r="L663">
        <v>1819.74</v>
      </c>
    </row>
    <row r="664" spans="1:12" x14ac:dyDescent="0.3">
      <c r="A664" t="s">
        <v>1030</v>
      </c>
      <c r="B664" t="s">
        <v>480</v>
      </c>
      <c r="C664" t="s">
        <v>63</v>
      </c>
      <c r="D664" t="s">
        <v>15</v>
      </c>
      <c r="E664" t="s">
        <v>16</v>
      </c>
      <c r="F664" t="s">
        <v>46</v>
      </c>
      <c r="G664" t="s">
        <v>94</v>
      </c>
      <c r="H664" t="s">
        <v>95</v>
      </c>
      <c r="I664">
        <v>6594</v>
      </c>
      <c r="J664">
        <v>4</v>
      </c>
      <c r="K664" t="s">
        <v>34</v>
      </c>
      <c r="L664">
        <v>1346.57</v>
      </c>
    </row>
    <row r="665" spans="1:12" x14ac:dyDescent="0.3">
      <c r="A665" t="s">
        <v>1031</v>
      </c>
      <c r="B665" t="s">
        <v>1032</v>
      </c>
      <c r="C665" t="s">
        <v>63</v>
      </c>
      <c r="D665" t="s">
        <v>15</v>
      </c>
      <c r="E665" t="s">
        <v>154</v>
      </c>
      <c r="F665" t="s">
        <v>46</v>
      </c>
      <c r="G665" t="s">
        <v>47</v>
      </c>
      <c r="H665" t="s">
        <v>48</v>
      </c>
      <c r="I665">
        <v>70351</v>
      </c>
      <c r="J665">
        <v>9</v>
      </c>
      <c r="K665" t="s">
        <v>34</v>
      </c>
      <c r="L665">
        <v>18239.12</v>
      </c>
    </row>
    <row r="666" spans="1:12" x14ac:dyDescent="0.3">
      <c r="A666" t="s">
        <v>1033</v>
      </c>
      <c r="B666" t="s">
        <v>487</v>
      </c>
      <c r="C666" t="s">
        <v>91</v>
      </c>
      <c r="D666" t="s">
        <v>32</v>
      </c>
      <c r="E666" t="s">
        <v>45</v>
      </c>
      <c r="F666" t="s">
        <v>25</v>
      </c>
      <c r="G666" t="s">
        <v>57</v>
      </c>
      <c r="H666" t="s">
        <v>58</v>
      </c>
      <c r="I666">
        <v>79572</v>
      </c>
      <c r="J666">
        <v>1</v>
      </c>
      <c r="K666" t="s">
        <v>20</v>
      </c>
      <c r="L666">
        <v>6990.34</v>
      </c>
    </row>
    <row r="667" spans="1:12" x14ac:dyDescent="0.3">
      <c r="A667" t="s">
        <v>1034</v>
      </c>
      <c r="B667" t="s">
        <v>564</v>
      </c>
      <c r="C667" t="s">
        <v>56</v>
      </c>
      <c r="D667" t="s">
        <v>38</v>
      </c>
      <c r="E667" t="s">
        <v>39</v>
      </c>
      <c r="F667" t="s">
        <v>46</v>
      </c>
      <c r="G667" t="s">
        <v>47</v>
      </c>
      <c r="H667" t="s">
        <v>48</v>
      </c>
      <c r="I667">
        <v>3961</v>
      </c>
      <c r="J667">
        <v>6</v>
      </c>
      <c r="K667" t="s">
        <v>49</v>
      </c>
      <c r="L667">
        <v>418.95</v>
      </c>
    </row>
    <row r="668" spans="1:12" x14ac:dyDescent="0.3">
      <c r="A668" t="s">
        <v>1035</v>
      </c>
      <c r="B668" t="s">
        <v>778</v>
      </c>
      <c r="C668" t="s">
        <v>121</v>
      </c>
      <c r="D668" t="s">
        <v>23</v>
      </c>
      <c r="E668" t="s">
        <v>129</v>
      </c>
      <c r="F668" t="s">
        <v>46</v>
      </c>
      <c r="G668" t="s">
        <v>87</v>
      </c>
      <c r="H668" t="s">
        <v>88</v>
      </c>
      <c r="I668">
        <v>48745</v>
      </c>
      <c r="J668">
        <v>8</v>
      </c>
      <c r="K668" t="s">
        <v>28</v>
      </c>
      <c r="L668">
        <v>8096.51</v>
      </c>
    </row>
    <row r="669" spans="1:12" x14ac:dyDescent="0.3">
      <c r="A669" t="s">
        <v>1036</v>
      </c>
      <c r="B669" t="s">
        <v>343</v>
      </c>
      <c r="C669" t="s">
        <v>91</v>
      </c>
      <c r="D669" t="s">
        <v>15</v>
      </c>
      <c r="E669" t="s">
        <v>16</v>
      </c>
      <c r="F669" t="s">
        <v>17</v>
      </c>
      <c r="G669" t="s">
        <v>18</v>
      </c>
      <c r="H669" t="s">
        <v>19</v>
      </c>
      <c r="I669">
        <v>59539</v>
      </c>
      <c r="J669">
        <v>4</v>
      </c>
      <c r="K669" t="s">
        <v>49</v>
      </c>
      <c r="L669">
        <v>6543.09</v>
      </c>
    </row>
    <row r="670" spans="1:12" x14ac:dyDescent="0.3">
      <c r="A670" t="s">
        <v>1037</v>
      </c>
      <c r="B670" t="s">
        <v>236</v>
      </c>
      <c r="C670" t="s">
        <v>66</v>
      </c>
      <c r="D670" t="s">
        <v>15</v>
      </c>
      <c r="E670" t="s">
        <v>154</v>
      </c>
      <c r="F670" t="s">
        <v>17</v>
      </c>
      <c r="G670" t="s">
        <v>18</v>
      </c>
      <c r="H670" t="s">
        <v>19</v>
      </c>
      <c r="I670">
        <v>13424</v>
      </c>
      <c r="J670">
        <v>4</v>
      </c>
      <c r="K670" t="s">
        <v>49</v>
      </c>
      <c r="L670">
        <v>2701.39</v>
      </c>
    </row>
    <row r="671" spans="1:12" x14ac:dyDescent="0.3">
      <c r="A671" t="s">
        <v>1038</v>
      </c>
      <c r="B671" t="s">
        <v>656</v>
      </c>
      <c r="C671" t="s">
        <v>37</v>
      </c>
      <c r="D671" t="s">
        <v>38</v>
      </c>
      <c r="E671" t="s">
        <v>39</v>
      </c>
      <c r="F671" t="s">
        <v>17</v>
      </c>
      <c r="G671" t="s">
        <v>18</v>
      </c>
      <c r="H671" t="s">
        <v>19</v>
      </c>
      <c r="I671">
        <v>24243</v>
      </c>
      <c r="J671">
        <v>4</v>
      </c>
      <c r="K671" t="s">
        <v>28</v>
      </c>
      <c r="L671">
        <v>6422.79</v>
      </c>
    </row>
    <row r="672" spans="1:12" x14ac:dyDescent="0.3">
      <c r="A672" t="s">
        <v>1039</v>
      </c>
      <c r="B672" t="s">
        <v>747</v>
      </c>
      <c r="C672" t="s">
        <v>14</v>
      </c>
      <c r="D672" t="s">
        <v>15</v>
      </c>
      <c r="E672" t="s">
        <v>73</v>
      </c>
      <c r="F672" t="s">
        <v>46</v>
      </c>
      <c r="G672" t="s">
        <v>87</v>
      </c>
      <c r="H672" t="s">
        <v>88</v>
      </c>
      <c r="I672">
        <v>52412</v>
      </c>
      <c r="J672">
        <v>8</v>
      </c>
      <c r="K672" t="s">
        <v>53</v>
      </c>
      <c r="L672">
        <v>7081.6</v>
      </c>
    </row>
    <row r="673" spans="1:12" x14ac:dyDescent="0.3">
      <c r="A673" t="s">
        <v>1040</v>
      </c>
      <c r="B673" t="s">
        <v>1041</v>
      </c>
      <c r="C673" t="s">
        <v>37</v>
      </c>
      <c r="D673" t="s">
        <v>15</v>
      </c>
      <c r="E673" t="s">
        <v>154</v>
      </c>
      <c r="F673" t="s">
        <v>25</v>
      </c>
      <c r="G673" t="s">
        <v>26</v>
      </c>
      <c r="H673" t="s">
        <v>27</v>
      </c>
      <c r="I673">
        <v>58810</v>
      </c>
      <c r="J673">
        <v>2</v>
      </c>
      <c r="K673" t="s">
        <v>53</v>
      </c>
      <c r="L673">
        <v>9630.1</v>
      </c>
    </row>
    <row r="674" spans="1:12" x14ac:dyDescent="0.3">
      <c r="A674" t="s">
        <v>1042</v>
      </c>
      <c r="B674" t="s">
        <v>548</v>
      </c>
      <c r="C674" t="s">
        <v>14</v>
      </c>
      <c r="D674" t="s">
        <v>32</v>
      </c>
      <c r="E674" t="s">
        <v>116</v>
      </c>
      <c r="F674" t="s">
        <v>25</v>
      </c>
      <c r="G674" t="s">
        <v>40</v>
      </c>
      <c r="H674" t="s">
        <v>41</v>
      </c>
      <c r="I674">
        <v>68747</v>
      </c>
      <c r="J674">
        <v>9</v>
      </c>
      <c r="K674" t="s">
        <v>34</v>
      </c>
      <c r="L674">
        <v>17513.580000000002</v>
      </c>
    </row>
    <row r="675" spans="1:12" x14ac:dyDescent="0.3">
      <c r="A675" t="s">
        <v>1043</v>
      </c>
      <c r="B675" t="s">
        <v>815</v>
      </c>
      <c r="C675" t="s">
        <v>63</v>
      </c>
      <c r="D675" t="s">
        <v>38</v>
      </c>
      <c r="E675" t="s">
        <v>67</v>
      </c>
      <c r="F675" t="s">
        <v>25</v>
      </c>
      <c r="G675" t="s">
        <v>26</v>
      </c>
      <c r="H675" t="s">
        <v>27</v>
      </c>
      <c r="I675">
        <v>46022</v>
      </c>
      <c r="J675">
        <v>3</v>
      </c>
      <c r="K675" t="s">
        <v>34</v>
      </c>
      <c r="L675">
        <v>3475.55</v>
      </c>
    </row>
    <row r="676" spans="1:12" x14ac:dyDescent="0.3">
      <c r="A676" t="s">
        <v>1044</v>
      </c>
      <c r="B676" t="s">
        <v>1045</v>
      </c>
      <c r="C676" t="s">
        <v>44</v>
      </c>
      <c r="D676" t="s">
        <v>38</v>
      </c>
      <c r="E676" t="s">
        <v>52</v>
      </c>
      <c r="F676" t="s">
        <v>25</v>
      </c>
      <c r="G676" t="s">
        <v>57</v>
      </c>
      <c r="H676" t="s">
        <v>58</v>
      </c>
      <c r="I676">
        <v>63328</v>
      </c>
      <c r="J676">
        <v>3</v>
      </c>
      <c r="K676" t="s">
        <v>34</v>
      </c>
      <c r="L676">
        <v>10209.709999999999</v>
      </c>
    </row>
    <row r="677" spans="1:12" x14ac:dyDescent="0.3">
      <c r="A677" t="s">
        <v>1046</v>
      </c>
      <c r="B677" t="s">
        <v>306</v>
      </c>
      <c r="C677" t="s">
        <v>63</v>
      </c>
      <c r="D677" t="s">
        <v>23</v>
      </c>
      <c r="E677" t="s">
        <v>129</v>
      </c>
      <c r="F677" t="s">
        <v>25</v>
      </c>
      <c r="G677" t="s">
        <v>57</v>
      </c>
      <c r="H677" t="s">
        <v>58</v>
      </c>
      <c r="I677">
        <v>28853</v>
      </c>
      <c r="J677">
        <v>1</v>
      </c>
      <c r="K677" t="s">
        <v>28</v>
      </c>
      <c r="L677">
        <v>4233.03</v>
      </c>
    </row>
    <row r="678" spans="1:12" x14ac:dyDescent="0.3">
      <c r="A678" t="s">
        <v>1047</v>
      </c>
      <c r="B678" t="s">
        <v>1048</v>
      </c>
      <c r="C678" t="s">
        <v>56</v>
      </c>
      <c r="D678" t="s">
        <v>32</v>
      </c>
      <c r="E678" t="s">
        <v>116</v>
      </c>
      <c r="F678" t="s">
        <v>25</v>
      </c>
      <c r="G678" t="s">
        <v>57</v>
      </c>
      <c r="H678" t="s">
        <v>58</v>
      </c>
      <c r="I678">
        <v>59428</v>
      </c>
      <c r="J678">
        <v>4</v>
      </c>
      <c r="K678" t="s">
        <v>28</v>
      </c>
      <c r="L678">
        <v>15090.98</v>
      </c>
    </row>
    <row r="679" spans="1:12" x14ac:dyDescent="0.3">
      <c r="A679" t="s">
        <v>1049</v>
      </c>
      <c r="B679" t="s">
        <v>1050</v>
      </c>
      <c r="C679" t="s">
        <v>14</v>
      </c>
      <c r="D679" t="s">
        <v>23</v>
      </c>
      <c r="E679" t="s">
        <v>129</v>
      </c>
      <c r="F679" t="s">
        <v>17</v>
      </c>
      <c r="G679" t="s">
        <v>76</v>
      </c>
      <c r="H679" t="s">
        <v>77</v>
      </c>
      <c r="I679">
        <v>45958</v>
      </c>
      <c r="J679">
        <v>3</v>
      </c>
      <c r="K679" t="s">
        <v>49</v>
      </c>
      <c r="L679">
        <v>12036.92</v>
      </c>
    </row>
    <row r="680" spans="1:12" x14ac:dyDescent="0.3">
      <c r="A680" t="s">
        <v>1051</v>
      </c>
      <c r="B680" t="s">
        <v>1050</v>
      </c>
      <c r="C680" t="s">
        <v>72</v>
      </c>
      <c r="D680" t="s">
        <v>23</v>
      </c>
      <c r="E680" t="s">
        <v>129</v>
      </c>
      <c r="F680" t="s">
        <v>25</v>
      </c>
      <c r="G680" t="s">
        <v>57</v>
      </c>
      <c r="H680" t="s">
        <v>58</v>
      </c>
      <c r="I680">
        <v>16769</v>
      </c>
      <c r="J680">
        <v>6</v>
      </c>
      <c r="K680" t="s">
        <v>20</v>
      </c>
      <c r="L680">
        <v>4157.82</v>
      </c>
    </row>
    <row r="681" spans="1:12" x14ac:dyDescent="0.3">
      <c r="A681" t="s">
        <v>1052</v>
      </c>
      <c r="B681" t="s">
        <v>1053</v>
      </c>
      <c r="C681" t="s">
        <v>14</v>
      </c>
      <c r="D681" t="s">
        <v>38</v>
      </c>
      <c r="E681" t="s">
        <v>39</v>
      </c>
      <c r="F681" t="s">
        <v>17</v>
      </c>
      <c r="G681" t="s">
        <v>76</v>
      </c>
      <c r="H681" t="s">
        <v>77</v>
      </c>
      <c r="I681">
        <v>35470</v>
      </c>
      <c r="J681">
        <v>6</v>
      </c>
      <c r="K681" t="s">
        <v>28</v>
      </c>
      <c r="L681">
        <v>2615.2199999999998</v>
      </c>
    </row>
    <row r="682" spans="1:12" x14ac:dyDescent="0.3">
      <c r="A682" t="s">
        <v>1054</v>
      </c>
      <c r="B682" t="s">
        <v>262</v>
      </c>
      <c r="C682" t="s">
        <v>44</v>
      </c>
      <c r="D682" t="s">
        <v>32</v>
      </c>
      <c r="E682" t="s">
        <v>116</v>
      </c>
      <c r="F682" t="s">
        <v>17</v>
      </c>
      <c r="G682" t="s">
        <v>104</v>
      </c>
      <c r="H682" t="s">
        <v>105</v>
      </c>
      <c r="I682">
        <v>77643</v>
      </c>
      <c r="J682">
        <v>7</v>
      </c>
      <c r="K682" t="s">
        <v>34</v>
      </c>
      <c r="L682">
        <v>16579.900000000001</v>
      </c>
    </row>
    <row r="683" spans="1:12" x14ac:dyDescent="0.3">
      <c r="A683" t="s">
        <v>1055</v>
      </c>
      <c r="B683" t="s">
        <v>809</v>
      </c>
      <c r="C683" t="s">
        <v>72</v>
      </c>
      <c r="D683" t="s">
        <v>15</v>
      </c>
      <c r="E683" t="s">
        <v>73</v>
      </c>
      <c r="F683" t="s">
        <v>25</v>
      </c>
      <c r="G683" t="s">
        <v>40</v>
      </c>
      <c r="H683" t="s">
        <v>41</v>
      </c>
      <c r="I683">
        <v>33478</v>
      </c>
      <c r="J683">
        <v>5</v>
      </c>
      <c r="K683" t="s">
        <v>49</v>
      </c>
      <c r="L683">
        <v>4379.96</v>
      </c>
    </row>
    <row r="684" spans="1:12" x14ac:dyDescent="0.3">
      <c r="A684" t="s">
        <v>1056</v>
      </c>
      <c r="B684" t="s">
        <v>583</v>
      </c>
      <c r="C684" t="s">
        <v>91</v>
      </c>
      <c r="D684" t="s">
        <v>38</v>
      </c>
      <c r="E684" t="s">
        <v>39</v>
      </c>
      <c r="F684" t="s">
        <v>17</v>
      </c>
      <c r="G684" t="s">
        <v>18</v>
      </c>
      <c r="H684" t="s">
        <v>19</v>
      </c>
      <c r="I684">
        <v>48245</v>
      </c>
      <c r="J684">
        <v>4</v>
      </c>
      <c r="K684" t="s">
        <v>49</v>
      </c>
      <c r="L684">
        <v>12306.76</v>
      </c>
    </row>
    <row r="685" spans="1:12" x14ac:dyDescent="0.3">
      <c r="A685" t="s">
        <v>1057</v>
      </c>
      <c r="B685" t="s">
        <v>131</v>
      </c>
      <c r="C685" t="s">
        <v>72</v>
      </c>
      <c r="D685" t="s">
        <v>15</v>
      </c>
      <c r="E685" t="s">
        <v>154</v>
      </c>
      <c r="F685" t="s">
        <v>17</v>
      </c>
      <c r="G685" t="s">
        <v>18</v>
      </c>
      <c r="H685" t="s">
        <v>19</v>
      </c>
      <c r="I685">
        <v>72361</v>
      </c>
      <c r="J685">
        <v>4</v>
      </c>
      <c r="K685" t="s">
        <v>49</v>
      </c>
      <c r="L685">
        <v>16276.88</v>
      </c>
    </row>
    <row r="686" spans="1:12" x14ac:dyDescent="0.3">
      <c r="A686" t="s">
        <v>1058</v>
      </c>
      <c r="B686" t="s">
        <v>608</v>
      </c>
      <c r="C686" t="s">
        <v>91</v>
      </c>
      <c r="D686" t="s">
        <v>38</v>
      </c>
      <c r="E686" t="s">
        <v>39</v>
      </c>
      <c r="F686" t="s">
        <v>25</v>
      </c>
      <c r="G686" t="s">
        <v>26</v>
      </c>
      <c r="H686" t="s">
        <v>27</v>
      </c>
      <c r="I686">
        <v>64973</v>
      </c>
      <c r="J686">
        <v>9</v>
      </c>
      <c r="K686" t="s">
        <v>28</v>
      </c>
      <c r="L686">
        <v>11847.16</v>
      </c>
    </row>
    <row r="687" spans="1:12" x14ac:dyDescent="0.3">
      <c r="A687" t="s">
        <v>1059</v>
      </c>
      <c r="B687" t="s">
        <v>749</v>
      </c>
      <c r="C687" t="s">
        <v>121</v>
      </c>
      <c r="D687" t="s">
        <v>23</v>
      </c>
      <c r="E687" t="s">
        <v>24</v>
      </c>
      <c r="F687" t="s">
        <v>17</v>
      </c>
      <c r="G687" t="s">
        <v>18</v>
      </c>
      <c r="H687" t="s">
        <v>19</v>
      </c>
      <c r="I687">
        <v>8200</v>
      </c>
      <c r="J687">
        <v>3</v>
      </c>
      <c r="K687" t="s">
        <v>34</v>
      </c>
      <c r="L687">
        <v>1573.28</v>
      </c>
    </row>
    <row r="688" spans="1:12" x14ac:dyDescent="0.3">
      <c r="A688" t="s">
        <v>1060</v>
      </c>
      <c r="B688" t="s">
        <v>725</v>
      </c>
      <c r="C688" t="s">
        <v>72</v>
      </c>
      <c r="D688" t="s">
        <v>38</v>
      </c>
      <c r="E688" t="s">
        <v>67</v>
      </c>
      <c r="F688" t="s">
        <v>17</v>
      </c>
      <c r="G688" t="s">
        <v>104</v>
      </c>
      <c r="H688" t="s">
        <v>105</v>
      </c>
      <c r="I688">
        <v>63920</v>
      </c>
      <c r="J688">
        <v>1</v>
      </c>
      <c r="K688" t="s">
        <v>49</v>
      </c>
      <c r="L688">
        <v>5226.58</v>
      </c>
    </row>
    <row r="689" spans="1:12" x14ac:dyDescent="0.3">
      <c r="A689" t="s">
        <v>1061</v>
      </c>
      <c r="B689" t="s">
        <v>1062</v>
      </c>
      <c r="C689" t="s">
        <v>14</v>
      </c>
      <c r="D689" t="s">
        <v>15</v>
      </c>
      <c r="E689" t="s">
        <v>73</v>
      </c>
      <c r="F689" t="s">
        <v>25</v>
      </c>
      <c r="G689" t="s">
        <v>26</v>
      </c>
      <c r="H689" t="s">
        <v>27</v>
      </c>
      <c r="I689">
        <v>69256</v>
      </c>
      <c r="J689">
        <v>1</v>
      </c>
      <c r="K689" t="s">
        <v>34</v>
      </c>
      <c r="L689">
        <v>17365.060000000001</v>
      </c>
    </row>
    <row r="690" spans="1:12" x14ac:dyDescent="0.3">
      <c r="A690" t="s">
        <v>1063</v>
      </c>
      <c r="B690" t="s">
        <v>1064</v>
      </c>
      <c r="C690" t="s">
        <v>44</v>
      </c>
      <c r="D690" t="s">
        <v>38</v>
      </c>
      <c r="E690" t="s">
        <v>52</v>
      </c>
      <c r="F690" t="s">
        <v>46</v>
      </c>
      <c r="G690" t="s">
        <v>87</v>
      </c>
      <c r="H690" t="s">
        <v>88</v>
      </c>
      <c r="I690">
        <v>58327</v>
      </c>
      <c r="J690">
        <v>10</v>
      </c>
      <c r="K690" t="s">
        <v>34</v>
      </c>
      <c r="L690">
        <v>11139.2</v>
      </c>
    </row>
    <row r="691" spans="1:12" x14ac:dyDescent="0.3">
      <c r="A691" t="s">
        <v>1065</v>
      </c>
      <c r="B691" t="s">
        <v>377</v>
      </c>
      <c r="C691" t="s">
        <v>14</v>
      </c>
      <c r="D691" t="s">
        <v>23</v>
      </c>
      <c r="E691" t="s">
        <v>129</v>
      </c>
      <c r="F691" t="s">
        <v>17</v>
      </c>
      <c r="G691" t="s">
        <v>104</v>
      </c>
      <c r="H691" t="s">
        <v>105</v>
      </c>
      <c r="I691">
        <v>69175</v>
      </c>
      <c r="J691">
        <v>6</v>
      </c>
      <c r="K691" t="s">
        <v>28</v>
      </c>
      <c r="L691">
        <v>5515.47</v>
      </c>
    </row>
    <row r="692" spans="1:12" x14ac:dyDescent="0.3">
      <c r="A692" t="s">
        <v>1066</v>
      </c>
      <c r="B692" t="s">
        <v>914</v>
      </c>
      <c r="C692" t="s">
        <v>66</v>
      </c>
      <c r="D692" t="s">
        <v>38</v>
      </c>
      <c r="E692" t="s">
        <v>39</v>
      </c>
      <c r="F692" t="s">
        <v>25</v>
      </c>
      <c r="G692" t="s">
        <v>57</v>
      </c>
      <c r="H692" t="s">
        <v>58</v>
      </c>
      <c r="I692">
        <v>51275</v>
      </c>
      <c r="J692">
        <v>6</v>
      </c>
      <c r="K692" t="s">
        <v>28</v>
      </c>
      <c r="L692">
        <v>11106.99</v>
      </c>
    </row>
    <row r="693" spans="1:12" x14ac:dyDescent="0.3">
      <c r="A693" t="s">
        <v>1067</v>
      </c>
      <c r="B693" t="s">
        <v>592</v>
      </c>
      <c r="C693" t="s">
        <v>63</v>
      </c>
      <c r="D693" t="s">
        <v>15</v>
      </c>
      <c r="E693" t="s">
        <v>16</v>
      </c>
      <c r="F693" t="s">
        <v>17</v>
      </c>
      <c r="G693" t="s">
        <v>104</v>
      </c>
      <c r="H693" t="s">
        <v>105</v>
      </c>
      <c r="I693">
        <v>39761</v>
      </c>
      <c r="J693">
        <v>7</v>
      </c>
      <c r="K693" t="s">
        <v>28</v>
      </c>
      <c r="L693">
        <v>4608.33</v>
      </c>
    </row>
    <row r="694" spans="1:12" x14ac:dyDescent="0.3">
      <c r="A694" t="s">
        <v>1068</v>
      </c>
      <c r="B694" t="s">
        <v>360</v>
      </c>
      <c r="C694" t="s">
        <v>121</v>
      </c>
      <c r="D694" t="s">
        <v>32</v>
      </c>
      <c r="E694" t="s">
        <v>33</v>
      </c>
      <c r="F694" t="s">
        <v>17</v>
      </c>
      <c r="G694" t="s">
        <v>76</v>
      </c>
      <c r="H694" t="s">
        <v>77</v>
      </c>
      <c r="I694">
        <v>34085</v>
      </c>
      <c r="J694">
        <v>2</v>
      </c>
      <c r="K694" t="s">
        <v>53</v>
      </c>
      <c r="L694">
        <v>3212.45</v>
      </c>
    </row>
    <row r="695" spans="1:12" x14ac:dyDescent="0.3">
      <c r="A695" t="s">
        <v>1069</v>
      </c>
      <c r="B695" t="s">
        <v>541</v>
      </c>
      <c r="C695" t="s">
        <v>72</v>
      </c>
      <c r="D695" t="s">
        <v>23</v>
      </c>
      <c r="E695" t="s">
        <v>82</v>
      </c>
      <c r="F695" t="s">
        <v>17</v>
      </c>
      <c r="G695" t="s">
        <v>76</v>
      </c>
      <c r="H695" t="s">
        <v>77</v>
      </c>
      <c r="I695">
        <v>30275</v>
      </c>
      <c r="J695">
        <v>2</v>
      </c>
      <c r="K695" t="s">
        <v>53</v>
      </c>
      <c r="L695">
        <v>3714.92</v>
      </c>
    </row>
    <row r="696" spans="1:12" x14ac:dyDescent="0.3">
      <c r="A696" t="s">
        <v>1070</v>
      </c>
      <c r="B696" t="s">
        <v>1071</v>
      </c>
      <c r="C696" t="s">
        <v>44</v>
      </c>
      <c r="D696" t="s">
        <v>32</v>
      </c>
      <c r="E696" t="s">
        <v>116</v>
      </c>
      <c r="F696" t="s">
        <v>17</v>
      </c>
      <c r="G696" t="s">
        <v>104</v>
      </c>
      <c r="H696" t="s">
        <v>105</v>
      </c>
      <c r="I696">
        <v>62141</v>
      </c>
      <c r="J696">
        <v>3</v>
      </c>
      <c r="K696" t="s">
        <v>53</v>
      </c>
      <c r="L696">
        <v>14225.93</v>
      </c>
    </row>
    <row r="697" spans="1:12" x14ac:dyDescent="0.3">
      <c r="A697" t="s">
        <v>1072</v>
      </c>
      <c r="B697" t="s">
        <v>151</v>
      </c>
      <c r="C697" t="s">
        <v>37</v>
      </c>
      <c r="D697" t="s">
        <v>15</v>
      </c>
      <c r="E697" t="s">
        <v>154</v>
      </c>
      <c r="F697" t="s">
        <v>17</v>
      </c>
      <c r="G697" t="s">
        <v>76</v>
      </c>
      <c r="H697" t="s">
        <v>77</v>
      </c>
      <c r="I697">
        <v>69791</v>
      </c>
      <c r="J697">
        <v>9</v>
      </c>
      <c r="K697" t="s">
        <v>49</v>
      </c>
      <c r="L697">
        <v>13956.67</v>
      </c>
    </row>
    <row r="698" spans="1:12" x14ac:dyDescent="0.3">
      <c r="A698" t="s">
        <v>1073</v>
      </c>
      <c r="B698" t="s">
        <v>212</v>
      </c>
      <c r="C698" t="s">
        <v>37</v>
      </c>
      <c r="D698" t="s">
        <v>32</v>
      </c>
      <c r="E698" t="s">
        <v>45</v>
      </c>
      <c r="F698" t="s">
        <v>25</v>
      </c>
      <c r="G698" t="s">
        <v>57</v>
      </c>
      <c r="H698" t="s">
        <v>58</v>
      </c>
      <c r="I698">
        <v>16641</v>
      </c>
      <c r="J698">
        <v>1</v>
      </c>
      <c r="K698" t="s">
        <v>49</v>
      </c>
      <c r="L698">
        <v>1735.95</v>
      </c>
    </row>
    <row r="699" spans="1:12" x14ac:dyDescent="0.3">
      <c r="A699" t="s">
        <v>1074</v>
      </c>
      <c r="B699" t="s">
        <v>604</v>
      </c>
      <c r="C699" t="s">
        <v>31</v>
      </c>
      <c r="D699" t="s">
        <v>15</v>
      </c>
      <c r="E699" t="s">
        <v>73</v>
      </c>
      <c r="F699" t="s">
        <v>25</v>
      </c>
      <c r="G699" t="s">
        <v>26</v>
      </c>
      <c r="H699" t="s">
        <v>27</v>
      </c>
      <c r="I699">
        <v>26135</v>
      </c>
      <c r="J699">
        <v>4</v>
      </c>
      <c r="K699" t="s">
        <v>28</v>
      </c>
      <c r="L699">
        <v>5520.59</v>
      </c>
    </row>
    <row r="700" spans="1:12" x14ac:dyDescent="0.3">
      <c r="A700" t="s">
        <v>1075</v>
      </c>
      <c r="B700" t="s">
        <v>767</v>
      </c>
      <c r="C700" t="s">
        <v>72</v>
      </c>
      <c r="D700" t="s">
        <v>38</v>
      </c>
      <c r="E700" t="s">
        <v>52</v>
      </c>
      <c r="F700" t="s">
        <v>46</v>
      </c>
      <c r="G700" t="s">
        <v>47</v>
      </c>
      <c r="H700" t="s">
        <v>48</v>
      </c>
      <c r="I700">
        <v>70227</v>
      </c>
      <c r="J700">
        <v>5</v>
      </c>
      <c r="K700" t="s">
        <v>34</v>
      </c>
      <c r="L700">
        <v>17682.36</v>
      </c>
    </row>
    <row r="701" spans="1:12" x14ac:dyDescent="0.3">
      <c r="A701" t="s">
        <v>1076</v>
      </c>
      <c r="B701" t="s">
        <v>1050</v>
      </c>
      <c r="C701" t="s">
        <v>72</v>
      </c>
      <c r="D701" t="s">
        <v>23</v>
      </c>
      <c r="E701" t="s">
        <v>82</v>
      </c>
      <c r="F701" t="s">
        <v>17</v>
      </c>
      <c r="G701" t="s">
        <v>104</v>
      </c>
      <c r="H701" t="s">
        <v>105</v>
      </c>
      <c r="I701">
        <v>35508</v>
      </c>
      <c r="J701">
        <v>8</v>
      </c>
      <c r="K701" t="s">
        <v>49</v>
      </c>
      <c r="L701">
        <v>2970.14</v>
      </c>
    </row>
    <row r="702" spans="1:12" x14ac:dyDescent="0.3">
      <c r="A702" t="s">
        <v>1077</v>
      </c>
      <c r="B702" t="s">
        <v>348</v>
      </c>
      <c r="C702" t="s">
        <v>63</v>
      </c>
      <c r="D702" t="s">
        <v>23</v>
      </c>
      <c r="E702" t="s">
        <v>82</v>
      </c>
      <c r="F702" t="s">
        <v>25</v>
      </c>
      <c r="G702" t="s">
        <v>57</v>
      </c>
      <c r="H702" t="s">
        <v>58</v>
      </c>
      <c r="I702">
        <v>63755</v>
      </c>
      <c r="J702">
        <v>3</v>
      </c>
      <c r="K702" t="s">
        <v>49</v>
      </c>
      <c r="L702">
        <v>7795.17</v>
      </c>
    </row>
    <row r="703" spans="1:12" x14ac:dyDescent="0.3">
      <c r="A703" t="s">
        <v>1078</v>
      </c>
      <c r="B703" t="s">
        <v>1079</v>
      </c>
      <c r="C703" t="s">
        <v>72</v>
      </c>
      <c r="D703" t="s">
        <v>23</v>
      </c>
      <c r="E703" t="s">
        <v>129</v>
      </c>
      <c r="F703" t="s">
        <v>46</v>
      </c>
      <c r="G703" t="s">
        <v>47</v>
      </c>
      <c r="H703" t="s">
        <v>48</v>
      </c>
      <c r="I703">
        <v>60871</v>
      </c>
      <c r="J703">
        <v>7</v>
      </c>
      <c r="K703" t="s">
        <v>20</v>
      </c>
      <c r="L703">
        <v>11736.69</v>
      </c>
    </row>
    <row r="704" spans="1:12" x14ac:dyDescent="0.3">
      <c r="A704" t="s">
        <v>1080</v>
      </c>
      <c r="B704" t="s">
        <v>299</v>
      </c>
      <c r="C704" t="s">
        <v>14</v>
      </c>
      <c r="D704" t="s">
        <v>38</v>
      </c>
      <c r="E704" t="s">
        <v>52</v>
      </c>
      <c r="F704" t="s">
        <v>46</v>
      </c>
      <c r="G704" t="s">
        <v>94</v>
      </c>
      <c r="H704" t="s">
        <v>95</v>
      </c>
      <c r="I704">
        <v>60780</v>
      </c>
      <c r="J704">
        <v>2</v>
      </c>
      <c r="K704" t="s">
        <v>20</v>
      </c>
      <c r="L704">
        <v>9954.91</v>
      </c>
    </row>
    <row r="705" spans="1:12" x14ac:dyDescent="0.3">
      <c r="A705" t="s">
        <v>1081</v>
      </c>
      <c r="B705" t="s">
        <v>172</v>
      </c>
      <c r="C705" t="s">
        <v>31</v>
      </c>
      <c r="D705" t="s">
        <v>15</v>
      </c>
      <c r="E705" t="s">
        <v>16</v>
      </c>
      <c r="F705" t="s">
        <v>25</v>
      </c>
      <c r="G705" t="s">
        <v>40</v>
      </c>
      <c r="H705" t="s">
        <v>41</v>
      </c>
      <c r="I705">
        <v>50066</v>
      </c>
      <c r="J705">
        <v>5</v>
      </c>
      <c r="K705" t="s">
        <v>20</v>
      </c>
      <c r="L705">
        <v>5544.86</v>
      </c>
    </row>
    <row r="706" spans="1:12" x14ac:dyDescent="0.3">
      <c r="A706" t="s">
        <v>1082</v>
      </c>
      <c r="B706" t="s">
        <v>1083</v>
      </c>
      <c r="C706" t="s">
        <v>63</v>
      </c>
      <c r="D706" t="s">
        <v>23</v>
      </c>
      <c r="E706" t="s">
        <v>24</v>
      </c>
      <c r="F706" t="s">
        <v>25</v>
      </c>
      <c r="G706" t="s">
        <v>40</v>
      </c>
      <c r="H706" t="s">
        <v>41</v>
      </c>
      <c r="I706">
        <v>27239</v>
      </c>
      <c r="J706">
        <v>5</v>
      </c>
      <c r="K706" t="s">
        <v>53</v>
      </c>
      <c r="L706">
        <v>5480.4</v>
      </c>
    </row>
    <row r="707" spans="1:12" x14ac:dyDescent="0.3">
      <c r="A707" t="s">
        <v>1084</v>
      </c>
      <c r="B707" t="s">
        <v>456</v>
      </c>
      <c r="C707" t="s">
        <v>14</v>
      </c>
      <c r="D707" t="s">
        <v>38</v>
      </c>
      <c r="E707" t="s">
        <v>67</v>
      </c>
      <c r="F707" t="s">
        <v>46</v>
      </c>
      <c r="G707" t="s">
        <v>87</v>
      </c>
      <c r="H707" t="s">
        <v>88</v>
      </c>
      <c r="I707">
        <v>16396</v>
      </c>
      <c r="J707">
        <v>8</v>
      </c>
      <c r="K707" t="s">
        <v>53</v>
      </c>
      <c r="L707">
        <v>1487.92</v>
      </c>
    </row>
    <row r="708" spans="1:12" x14ac:dyDescent="0.3">
      <c r="A708" t="s">
        <v>1085</v>
      </c>
      <c r="B708" t="s">
        <v>137</v>
      </c>
      <c r="C708" t="s">
        <v>91</v>
      </c>
      <c r="D708" t="s">
        <v>23</v>
      </c>
      <c r="E708" t="s">
        <v>24</v>
      </c>
      <c r="F708" t="s">
        <v>25</v>
      </c>
      <c r="G708" t="s">
        <v>26</v>
      </c>
      <c r="H708" t="s">
        <v>27</v>
      </c>
      <c r="I708">
        <v>71073</v>
      </c>
      <c r="J708">
        <v>9</v>
      </c>
      <c r="K708" t="s">
        <v>20</v>
      </c>
      <c r="L708">
        <v>7876.42</v>
      </c>
    </row>
    <row r="709" spans="1:12" x14ac:dyDescent="0.3">
      <c r="A709" t="s">
        <v>1086</v>
      </c>
      <c r="B709" t="s">
        <v>472</v>
      </c>
      <c r="C709" t="s">
        <v>44</v>
      </c>
      <c r="D709" t="s">
        <v>23</v>
      </c>
      <c r="E709" t="s">
        <v>24</v>
      </c>
      <c r="F709" t="s">
        <v>17</v>
      </c>
      <c r="G709" t="s">
        <v>104</v>
      </c>
      <c r="H709" t="s">
        <v>105</v>
      </c>
      <c r="I709">
        <v>10029</v>
      </c>
      <c r="J709">
        <v>10</v>
      </c>
      <c r="K709" t="s">
        <v>53</v>
      </c>
      <c r="L709">
        <v>966.85</v>
      </c>
    </row>
    <row r="710" spans="1:12" x14ac:dyDescent="0.3">
      <c r="A710" t="s">
        <v>1087</v>
      </c>
      <c r="B710" t="s">
        <v>281</v>
      </c>
      <c r="C710" t="s">
        <v>31</v>
      </c>
      <c r="D710" t="s">
        <v>32</v>
      </c>
      <c r="E710" t="s">
        <v>33</v>
      </c>
      <c r="F710" t="s">
        <v>46</v>
      </c>
      <c r="G710" t="s">
        <v>87</v>
      </c>
      <c r="H710" t="s">
        <v>88</v>
      </c>
      <c r="I710">
        <v>3441</v>
      </c>
      <c r="J710">
        <v>9</v>
      </c>
      <c r="K710" t="s">
        <v>53</v>
      </c>
      <c r="L710">
        <v>522.24</v>
      </c>
    </row>
    <row r="711" spans="1:12" x14ac:dyDescent="0.3">
      <c r="A711" t="s">
        <v>1088</v>
      </c>
      <c r="B711" t="s">
        <v>616</v>
      </c>
      <c r="C711" t="s">
        <v>31</v>
      </c>
      <c r="D711" t="s">
        <v>15</v>
      </c>
      <c r="E711" t="s">
        <v>16</v>
      </c>
      <c r="F711" t="s">
        <v>25</v>
      </c>
      <c r="G711" t="s">
        <v>57</v>
      </c>
      <c r="H711" t="s">
        <v>58</v>
      </c>
      <c r="I711">
        <v>60576</v>
      </c>
      <c r="J711">
        <v>7</v>
      </c>
      <c r="K711" t="s">
        <v>34</v>
      </c>
      <c r="L711">
        <v>8893.0300000000007</v>
      </c>
    </row>
    <row r="712" spans="1:12" x14ac:dyDescent="0.3">
      <c r="A712" t="s">
        <v>1089</v>
      </c>
      <c r="B712" t="s">
        <v>295</v>
      </c>
      <c r="C712" t="s">
        <v>91</v>
      </c>
      <c r="D712" t="s">
        <v>23</v>
      </c>
      <c r="E712" t="s">
        <v>129</v>
      </c>
      <c r="F712" t="s">
        <v>46</v>
      </c>
      <c r="G712" t="s">
        <v>47</v>
      </c>
      <c r="H712" t="s">
        <v>48</v>
      </c>
      <c r="I712">
        <v>74075</v>
      </c>
      <c r="J712">
        <v>7</v>
      </c>
      <c r="K712" t="s">
        <v>53</v>
      </c>
      <c r="L712">
        <v>7195.05</v>
      </c>
    </row>
    <row r="713" spans="1:12" x14ac:dyDescent="0.3">
      <c r="A713" t="s">
        <v>1090</v>
      </c>
      <c r="B713" t="s">
        <v>803</v>
      </c>
      <c r="C713" t="s">
        <v>44</v>
      </c>
      <c r="D713" t="s">
        <v>15</v>
      </c>
      <c r="E713" t="s">
        <v>16</v>
      </c>
      <c r="F713" t="s">
        <v>25</v>
      </c>
      <c r="G713" t="s">
        <v>57</v>
      </c>
      <c r="H713" t="s">
        <v>58</v>
      </c>
      <c r="I713">
        <v>58495</v>
      </c>
      <c r="J713">
        <v>5</v>
      </c>
      <c r="K713" t="s">
        <v>34</v>
      </c>
      <c r="L713">
        <v>12137.15</v>
      </c>
    </row>
    <row r="714" spans="1:12" x14ac:dyDescent="0.3">
      <c r="A714" t="s">
        <v>1091</v>
      </c>
      <c r="B714" t="s">
        <v>900</v>
      </c>
      <c r="C714" t="s">
        <v>72</v>
      </c>
      <c r="D714" t="s">
        <v>32</v>
      </c>
      <c r="E714" t="s">
        <v>45</v>
      </c>
      <c r="F714" t="s">
        <v>46</v>
      </c>
      <c r="G714" t="s">
        <v>47</v>
      </c>
      <c r="H714" t="s">
        <v>48</v>
      </c>
      <c r="I714">
        <v>7673</v>
      </c>
      <c r="J714">
        <v>3</v>
      </c>
      <c r="K714" t="s">
        <v>34</v>
      </c>
      <c r="L714">
        <v>1283.67</v>
      </c>
    </row>
    <row r="715" spans="1:12" x14ac:dyDescent="0.3">
      <c r="A715" t="s">
        <v>1092</v>
      </c>
      <c r="B715" t="s">
        <v>647</v>
      </c>
      <c r="C715" t="s">
        <v>121</v>
      </c>
      <c r="D715" t="s">
        <v>15</v>
      </c>
      <c r="E715" t="s">
        <v>73</v>
      </c>
      <c r="F715" t="s">
        <v>25</v>
      </c>
      <c r="G715" t="s">
        <v>26</v>
      </c>
      <c r="H715" t="s">
        <v>27</v>
      </c>
      <c r="I715">
        <v>68819</v>
      </c>
      <c r="J715">
        <v>7</v>
      </c>
      <c r="K715" t="s">
        <v>34</v>
      </c>
      <c r="L715">
        <v>15994.42</v>
      </c>
    </row>
    <row r="716" spans="1:12" x14ac:dyDescent="0.3">
      <c r="A716" t="s">
        <v>1093</v>
      </c>
      <c r="B716" t="s">
        <v>439</v>
      </c>
      <c r="C716" t="s">
        <v>14</v>
      </c>
      <c r="D716" t="s">
        <v>23</v>
      </c>
      <c r="E716" t="s">
        <v>24</v>
      </c>
      <c r="F716" t="s">
        <v>46</v>
      </c>
      <c r="G716" t="s">
        <v>47</v>
      </c>
      <c r="H716" t="s">
        <v>48</v>
      </c>
      <c r="I716">
        <v>15139</v>
      </c>
      <c r="J716">
        <v>10</v>
      </c>
      <c r="K716" t="s">
        <v>49</v>
      </c>
      <c r="L716">
        <v>2002.12</v>
      </c>
    </row>
    <row r="717" spans="1:12" x14ac:dyDescent="0.3">
      <c r="A717" t="s">
        <v>1094</v>
      </c>
      <c r="B717" t="s">
        <v>985</v>
      </c>
      <c r="C717" t="s">
        <v>31</v>
      </c>
      <c r="D717" t="s">
        <v>38</v>
      </c>
      <c r="E717" t="s">
        <v>39</v>
      </c>
      <c r="F717" t="s">
        <v>25</v>
      </c>
      <c r="G717" t="s">
        <v>57</v>
      </c>
      <c r="H717" t="s">
        <v>58</v>
      </c>
      <c r="I717">
        <v>26676</v>
      </c>
      <c r="J717">
        <v>5</v>
      </c>
      <c r="K717" t="s">
        <v>28</v>
      </c>
      <c r="L717">
        <v>6194.65</v>
      </c>
    </row>
    <row r="718" spans="1:12" x14ac:dyDescent="0.3">
      <c r="A718" t="s">
        <v>1095</v>
      </c>
      <c r="B718" t="s">
        <v>43</v>
      </c>
      <c r="C718" t="s">
        <v>66</v>
      </c>
      <c r="D718" t="s">
        <v>23</v>
      </c>
      <c r="E718" t="s">
        <v>129</v>
      </c>
      <c r="F718" t="s">
        <v>46</v>
      </c>
      <c r="G718" t="s">
        <v>47</v>
      </c>
      <c r="H718" t="s">
        <v>48</v>
      </c>
      <c r="I718">
        <v>51027</v>
      </c>
      <c r="J718">
        <v>5</v>
      </c>
      <c r="K718" t="s">
        <v>34</v>
      </c>
      <c r="L718">
        <v>11633.69</v>
      </c>
    </row>
    <row r="719" spans="1:12" x14ac:dyDescent="0.3">
      <c r="A719" t="s">
        <v>1096</v>
      </c>
      <c r="B719" t="s">
        <v>673</v>
      </c>
      <c r="C719" t="s">
        <v>44</v>
      </c>
      <c r="D719" t="s">
        <v>32</v>
      </c>
      <c r="E719" t="s">
        <v>33</v>
      </c>
      <c r="F719" t="s">
        <v>25</v>
      </c>
      <c r="G719" t="s">
        <v>57</v>
      </c>
      <c r="H719" t="s">
        <v>58</v>
      </c>
      <c r="I719">
        <v>47347</v>
      </c>
      <c r="J719">
        <v>3</v>
      </c>
      <c r="K719" t="s">
        <v>34</v>
      </c>
      <c r="L719">
        <v>7480.51</v>
      </c>
    </row>
    <row r="720" spans="1:12" x14ac:dyDescent="0.3">
      <c r="A720" t="s">
        <v>1097</v>
      </c>
      <c r="B720" t="s">
        <v>86</v>
      </c>
      <c r="C720" t="s">
        <v>63</v>
      </c>
      <c r="D720" t="s">
        <v>15</v>
      </c>
      <c r="E720" t="s">
        <v>154</v>
      </c>
      <c r="F720" t="s">
        <v>25</v>
      </c>
      <c r="G720" t="s">
        <v>26</v>
      </c>
      <c r="H720" t="s">
        <v>27</v>
      </c>
      <c r="I720">
        <v>6004</v>
      </c>
      <c r="J720">
        <v>4</v>
      </c>
      <c r="K720" t="s">
        <v>49</v>
      </c>
      <c r="L720">
        <v>1376.37</v>
      </c>
    </row>
    <row r="721" spans="1:12" x14ac:dyDescent="0.3">
      <c r="A721" t="s">
        <v>1098</v>
      </c>
      <c r="B721" t="s">
        <v>1099</v>
      </c>
      <c r="C721" t="s">
        <v>56</v>
      </c>
      <c r="D721" t="s">
        <v>23</v>
      </c>
      <c r="E721" t="s">
        <v>129</v>
      </c>
      <c r="F721" t="s">
        <v>25</v>
      </c>
      <c r="G721" t="s">
        <v>57</v>
      </c>
      <c r="H721" t="s">
        <v>58</v>
      </c>
      <c r="I721">
        <v>60590</v>
      </c>
      <c r="J721">
        <v>8</v>
      </c>
      <c r="K721" t="s">
        <v>34</v>
      </c>
      <c r="L721">
        <v>12826.78</v>
      </c>
    </row>
    <row r="722" spans="1:12" x14ac:dyDescent="0.3">
      <c r="A722" t="s">
        <v>1100</v>
      </c>
      <c r="B722" t="s">
        <v>266</v>
      </c>
      <c r="C722" t="s">
        <v>44</v>
      </c>
      <c r="D722" t="s">
        <v>38</v>
      </c>
      <c r="E722" t="s">
        <v>52</v>
      </c>
      <c r="F722" t="s">
        <v>17</v>
      </c>
      <c r="G722" t="s">
        <v>104</v>
      </c>
      <c r="H722" t="s">
        <v>105</v>
      </c>
      <c r="I722">
        <v>5378</v>
      </c>
      <c r="J722">
        <v>10</v>
      </c>
      <c r="K722" t="s">
        <v>53</v>
      </c>
      <c r="L722">
        <v>517.62</v>
      </c>
    </row>
    <row r="723" spans="1:12" x14ac:dyDescent="0.3">
      <c r="A723" t="s">
        <v>1101</v>
      </c>
      <c r="B723" t="s">
        <v>158</v>
      </c>
      <c r="C723" t="s">
        <v>63</v>
      </c>
      <c r="D723" t="s">
        <v>23</v>
      </c>
      <c r="E723" t="s">
        <v>24</v>
      </c>
      <c r="F723" t="s">
        <v>25</v>
      </c>
      <c r="G723" t="s">
        <v>26</v>
      </c>
      <c r="H723" t="s">
        <v>27</v>
      </c>
      <c r="I723">
        <v>43147</v>
      </c>
      <c r="J723">
        <v>4</v>
      </c>
      <c r="K723" t="s">
        <v>34</v>
      </c>
      <c r="L723">
        <v>3368.28</v>
      </c>
    </row>
    <row r="724" spans="1:12" x14ac:dyDescent="0.3">
      <c r="A724" t="s">
        <v>1102</v>
      </c>
      <c r="B724" t="s">
        <v>508</v>
      </c>
      <c r="C724" t="s">
        <v>63</v>
      </c>
      <c r="D724" t="s">
        <v>38</v>
      </c>
      <c r="E724" t="s">
        <v>52</v>
      </c>
      <c r="F724" t="s">
        <v>25</v>
      </c>
      <c r="G724" t="s">
        <v>40</v>
      </c>
      <c r="H724" t="s">
        <v>41</v>
      </c>
      <c r="I724">
        <v>11585</v>
      </c>
      <c r="J724">
        <v>3</v>
      </c>
      <c r="K724" t="s">
        <v>49</v>
      </c>
      <c r="L724">
        <v>906.68</v>
      </c>
    </row>
    <row r="725" spans="1:12" x14ac:dyDescent="0.3">
      <c r="A725" t="s">
        <v>1103</v>
      </c>
      <c r="B725" t="s">
        <v>935</v>
      </c>
      <c r="C725" t="s">
        <v>44</v>
      </c>
      <c r="D725" t="s">
        <v>38</v>
      </c>
      <c r="E725" t="s">
        <v>39</v>
      </c>
      <c r="F725" t="s">
        <v>46</v>
      </c>
      <c r="G725" t="s">
        <v>87</v>
      </c>
      <c r="H725" t="s">
        <v>88</v>
      </c>
      <c r="I725">
        <v>20000</v>
      </c>
      <c r="J725">
        <v>10</v>
      </c>
      <c r="K725" t="s">
        <v>34</v>
      </c>
      <c r="L725">
        <v>3532.45</v>
      </c>
    </row>
    <row r="726" spans="1:12" x14ac:dyDescent="0.3">
      <c r="A726" t="s">
        <v>1104</v>
      </c>
      <c r="B726" t="s">
        <v>176</v>
      </c>
      <c r="C726" t="s">
        <v>66</v>
      </c>
      <c r="D726" t="s">
        <v>23</v>
      </c>
      <c r="E726" t="s">
        <v>82</v>
      </c>
      <c r="F726" t="s">
        <v>25</v>
      </c>
      <c r="G726" t="s">
        <v>40</v>
      </c>
      <c r="H726" t="s">
        <v>41</v>
      </c>
      <c r="I726">
        <v>69712</v>
      </c>
      <c r="J726">
        <v>7</v>
      </c>
      <c r="K726" t="s">
        <v>20</v>
      </c>
      <c r="L726">
        <v>15129.67</v>
      </c>
    </row>
    <row r="727" spans="1:12" x14ac:dyDescent="0.3">
      <c r="A727" t="s">
        <v>1105</v>
      </c>
      <c r="B727" t="s">
        <v>641</v>
      </c>
      <c r="C727" t="s">
        <v>37</v>
      </c>
      <c r="D727" t="s">
        <v>15</v>
      </c>
      <c r="E727" t="s">
        <v>16</v>
      </c>
      <c r="F727" t="s">
        <v>17</v>
      </c>
      <c r="G727" t="s">
        <v>76</v>
      </c>
      <c r="H727" t="s">
        <v>77</v>
      </c>
      <c r="I727">
        <v>76357</v>
      </c>
      <c r="J727">
        <v>8</v>
      </c>
      <c r="K727" t="s">
        <v>20</v>
      </c>
      <c r="L727">
        <v>15651.59</v>
      </c>
    </row>
    <row r="728" spans="1:12" x14ac:dyDescent="0.3">
      <c r="A728" t="s">
        <v>1106</v>
      </c>
      <c r="B728" t="s">
        <v>43</v>
      </c>
      <c r="C728" t="s">
        <v>72</v>
      </c>
      <c r="D728" t="s">
        <v>38</v>
      </c>
      <c r="E728" t="s">
        <v>52</v>
      </c>
      <c r="F728" t="s">
        <v>46</v>
      </c>
      <c r="G728" t="s">
        <v>94</v>
      </c>
      <c r="H728" t="s">
        <v>95</v>
      </c>
      <c r="I728">
        <v>68400</v>
      </c>
      <c r="J728">
        <v>10</v>
      </c>
      <c r="K728" t="s">
        <v>53</v>
      </c>
      <c r="L728">
        <v>12899.79</v>
      </c>
    </row>
    <row r="729" spans="1:12" x14ac:dyDescent="0.3">
      <c r="A729" t="s">
        <v>1107</v>
      </c>
      <c r="B729" t="s">
        <v>1108</v>
      </c>
      <c r="C729" t="s">
        <v>14</v>
      </c>
      <c r="D729" t="s">
        <v>15</v>
      </c>
      <c r="E729" t="s">
        <v>73</v>
      </c>
      <c r="F729" t="s">
        <v>25</v>
      </c>
      <c r="G729" t="s">
        <v>26</v>
      </c>
      <c r="H729" t="s">
        <v>27</v>
      </c>
      <c r="I729">
        <v>11739</v>
      </c>
      <c r="J729">
        <v>9</v>
      </c>
      <c r="K729" t="s">
        <v>49</v>
      </c>
      <c r="L729">
        <v>2433.0500000000002</v>
      </c>
    </row>
    <row r="730" spans="1:12" x14ac:dyDescent="0.3">
      <c r="A730" t="s">
        <v>1109</v>
      </c>
      <c r="B730" t="s">
        <v>803</v>
      </c>
      <c r="C730" t="s">
        <v>44</v>
      </c>
      <c r="D730" t="s">
        <v>32</v>
      </c>
      <c r="E730" t="s">
        <v>116</v>
      </c>
      <c r="F730" t="s">
        <v>17</v>
      </c>
      <c r="G730" t="s">
        <v>104</v>
      </c>
      <c r="H730" t="s">
        <v>105</v>
      </c>
      <c r="I730">
        <v>48259</v>
      </c>
      <c r="J730">
        <v>1</v>
      </c>
      <c r="K730" t="s">
        <v>34</v>
      </c>
      <c r="L730">
        <v>4351.78</v>
      </c>
    </row>
    <row r="731" spans="1:12" x14ac:dyDescent="0.3">
      <c r="A731" t="s">
        <v>1110</v>
      </c>
      <c r="B731" t="s">
        <v>279</v>
      </c>
      <c r="C731" t="s">
        <v>31</v>
      </c>
      <c r="D731" t="s">
        <v>15</v>
      </c>
      <c r="E731" t="s">
        <v>154</v>
      </c>
      <c r="F731" t="s">
        <v>25</v>
      </c>
      <c r="G731" t="s">
        <v>26</v>
      </c>
      <c r="H731" t="s">
        <v>27</v>
      </c>
      <c r="I731">
        <v>5958</v>
      </c>
      <c r="J731">
        <v>8</v>
      </c>
      <c r="K731" t="s">
        <v>34</v>
      </c>
      <c r="L731">
        <v>554.97</v>
      </c>
    </row>
    <row r="732" spans="1:12" x14ac:dyDescent="0.3">
      <c r="A732" t="s">
        <v>1111</v>
      </c>
      <c r="B732" t="s">
        <v>97</v>
      </c>
      <c r="C732" t="s">
        <v>31</v>
      </c>
      <c r="D732" t="s">
        <v>15</v>
      </c>
      <c r="E732" t="s">
        <v>154</v>
      </c>
      <c r="F732" t="s">
        <v>46</v>
      </c>
      <c r="G732" t="s">
        <v>87</v>
      </c>
      <c r="H732" t="s">
        <v>88</v>
      </c>
      <c r="I732">
        <v>67888</v>
      </c>
      <c r="J732">
        <v>8</v>
      </c>
      <c r="K732" t="s">
        <v>34</v>
      </c>
      <c r="L732">
        <v>7143.24</v>
      </c>
    </row>
    <row r="733" spans="1:12" x14ac:dyDescent="0.3">
      <c r="A733" t="s">
        <v>1112</v>
      </c>
      <c r="B733" t="s">
        <v>362</v>
      </c>
      <c r="C733" t="s">
        <v>31</v>
      </c>
      <c r="D733" t="s">
        <v>32</v>
      </c>
      <c r="E733" t="s">
        <v>116</v>
      </c>
      <c r="F733" t="s">
        <v>25</v>
      </c>
      <c r="G733" t="s">
        <v>26</v>
      </c>
      <c r="H733" t="s">
        <v>27</v>
      </c>
      <c r="I733">
        <v>12945</v>
      </c>
      <c r="J733">
        <v>4</v>
      </c>
      <c r="K733" t="s">
        <v>49</v>
      </c>
      <c r="L733">
        <v>2432.71</v>
      </c>
    </row>
    <row r="734" spans="1:12" x14ac:dyDescent="0.3">
      <c r="A734" t="s">
        <v>1113</v>
      </c>
      <c r="B734" t="s">
        <v>97</v>
      </c>
      <c r="C734" t="s">
        <v>66</v>
      </c>
      <c r="D734" t="s">
        <v>38</v>
      </c>
      <c r="E734" t="s">
        <v>52</v>
      </c>
      <c r="F734" t="s">
        <v>46</v>
      </c>
      <c r="G734" t="s">
        <v>87</v>
      </c>
      <c r="H734" t="s">
        <v>88</v>
      </c>
      <c r="I734">
        <v>55477</v>
      </c>
      <c r="J734">
        <v>1</v>
      </c>
      <c r="K734" t="s">
        <v>53</v>
      </c>
      <c r="L734">
        <v>9769.36</v>
      </c>
    </row>
    <row r="735" spans="1:12" x14ac:dyDescent="0.3">
      <c r="A735" t="s">
        <v>1114</v>
      </c>
      <c r="B735" t="s">
        <v>1115</v>
      </c>
      <c r="C735" t="s">
        <v>37</v>
      </c>
      <c r="D735" t="s">
        <v>32</v>
      </c>
      <c r="E735" t="s">
        <v>116</v>
      </c>
      <c r="F735" t="s">
        <v>46</v>
      </c>
      <c r="G735" t="s">
        <v>94</v>
      </c>
      <c r="H735" t="s">
        <v>95</v>
      </c>
      <c r="I735">
        <v>5197</v>
      </c>
      <c r="J735">
        <v>10</v>
      </c>
      <c r="K735" t="s">
        <v>53</v>
      </c>
      <c r="L735">
        <v>898.53</v>
      </c>
    </row>
    <row r="736" spans="1:12" x14ac:dyDescent="0.3">
      <c r="A736" t="s">
        <v>1116</v>
      </c>
      <c r="B736" t="s">
        <v>101</v>
      </c>
      <c r="C736" t="s">
        <v>121</v>
      </c>
      <c r="D736" t="s">
        <v>23</v>
      </c>
      <c r="E736" t="s">
        <v>129</v>
      </c>
      <c r="F736" t="s">
        <v>46</v>
      </c>
      <c r="G736" t="s">
        <v>87</v>
      </c>
      <c r="H736" t="s">
        <v>88</v>
      </c>
      <c r="I736">
        <v>17994</v>
      </c>
      <c r="J736">
        <v>1</v>
      </c>
      <c r="K736" t="s">
        <v>49</v>
      </c>
      <c r="L736">
        <v>2319.66</v>
      </c>
    </row>
    <row r="737" spans="1:12" x14ac:dyDescent="0.3">
      <c r="A737" t="s">
        <v>1117</v>
      </c>
      <c r="B737" t="s">
        <v>572</v>
      </c>
      <c r="C737" t="s">
        <v>56</v>
      </c>
      <c r="D737" t="s">
        <v>38</v>
      </c>
      <c r="E737" t="s">
        <v>39</v>
      </c>
      <c r="F737" t="s">
        <v>46</v>
      </c>
      <c r="G737" t="s">
        <v>87</v>
      </c>
      <c r="H737" t="s">
        <v>88</v>
      </c>
      <c r="I737">
        <v>50463</v>
      </c>
      <c r="J737">
        <v>7</v>
      </c>
      <c r="K737" t="s">
        <v>20</v>
      </c>
      <c r="L737">
        <v>8597.76</v>
      </c>
    </row>
    <row r="738" spans="1:12" x14ac:dyDescent="0.3">
      <c r="A738" t="s">
        <v>1118</v>
      </c>
      <c r="B738" t="s">
        <v>84</v>
      </c>
      <c r="C738" t="s">
        <v>37</v>
      </c>
      <c r="D738" t="s">
        <v>32</v>
      </c>
      <c r="E738" t="s">
        <v>33</v>
      </c>
      <c r="F738" t="s">
        <v>17</v>
      </c>
      <c r="G738" t="s">
        <v>18</v>
      </c>
      <c r="H738" t="s">
        <v>19</v>
      </c>
      <c r="I738">
        <v>67695</v>
      </c>
      <c r="J738">
        <v>10</v>
      </c>
      <c r="K738" t="s">
        <v>53</v>
      </c>
      <c r="L738">
        <v>15099</v>
      </c>
    </row>
    <row r="739" spans="1:12" x14ac:dyDescent="0.3">
      <c r="A739" t="s">
        <v>1119</v>
      </c>
      <c r="B739" t="s">
        <v>79</v>
      </c>
      <c r="C739" t="s">
        <v>14</v>
      </c>
      <c r="D739" t="s">
        <v>23</v>
      </c>
      <c r="E739" t="s">
        <v>129</v>
      </c>
      <c r="F739" t="s">
        <v>17</v>
      </c>
      <c r="G739" t="s">
        <v>104</v>
      </c>
      <c r="H739" t="s">
        <v>105</v>
      </c>
      <c r="I739">
        <v>76969</v>
      </c>
      <c r="J739">
        <v>4</v>
      </c>
      <c r="K739" t="s">
        <v>20</v>
      </c>
      <c r="L739">
        <v>8098.91</v>
      </c>
    </row>
    <row r="740" spans="1:12" x14ac:dyDescent="0.3">
      <c r="A740" t="s">
        <v>1120</v>
      </c>
      <c r="B740" t="s">
        <v>942</v>
      </c>
      <c r="C740" t="s">
        <v>37</v>
      </c>
      <c r="D740" t="s">
        <v>15</v>
      </c>
      <c r="E740" t="s">
        <v>73</v>
      </c>
      <c r="F740" t="s">
        <v>25</v>
      </c>
      <c r="G740" t="s">
        <v>57</v>
      </c>
      <c r="H740" t="s">
        <v>58</v>
      </c>
      <c r="I740">
        <v>37188</v>
      </c>
      <c r="J740">
        <v>1</v>
      </c>
      <c r="K740" t="s">
        <v>49</v>
      </c>
      <c r="L740">
        <v>6881.23</v>
      </c>
    </row>
    <row r="741" spans="1:12" x14ac:dyDescent="0.3">
      <c r="A741" t="s">
        <v>1121</v>
      </c>
      <c r="B741" t="s">
        <v>283</v>
      </c>
      <c r="C741" t="s">
        <v>66</v>
      </c>
      <c r="D741" t="s">
        <v>15</v>
      </c>
      <c r="E741" t="s">
        <v>154</v>
      </c>
      <c r="F741" t="s">
        <v>46</v>
      </c>
      <c r="G741" t="s">
        <v>94</v>
      </c>
      <c r="H741" t="s">
        <v>95</v>
      </c>
      <c r="I741">
        <v>63207</v>
      </c>
      <c r="J741">
        <v>6</v>
      </c>
      <c r="K741" t="s">
        <v>20</v>
      </c>
      <c r="L741">
        <v>11780.4</v>
      </c>
    </row>
    <row r="742" spans="1:12" x14ac:dyDescent="0.3">
      <c r="A742" t="s">
        <v>1122</v>
      </c>
      <c r="B742" t="s">
        <v>158</v>
      </c>
      <c r="C742" t="s">
        <v>66</v>
      </c>
      <c r="D742" t="s">
        <v>15</v>
      </c>
      <c r="E742" t="s">
        <v>154</v>
      </c>
      <c r="F742" t="s">
        <v>46</v>
      </c>
      <c r="G742" t="s">
        <v>94</v>
      </c>
      <c r="H742" t="s">
        <v>95</v>
      </c>
      <c r="I742">
        <v>64940</v>
      </c>
      <c r="J742">
        <v>1</v>
      </c>
      <c r="K742" t="s">
        <v>20</v>
      </c>
      <c r="L742">
        <v>8161.97</v>
      </c>
    </row>
    <row r="743" spans="1:12" x14ac:dyDescent="0.3">
      <c r="A743" t="s">
        <v>1123</v>
      </c>
      <c r="B743" t="s">
        <v>792</v>
      </c>
      <c r="C743" t="s">
        <v>66</v>
      </c>
      <c r="D743" t="s">
        <v>32</v>
      </c>
      <c r="E743" t="s">
        <v>33</v>
      </c>
      <c r="F743" t="s">
        <v>17</v>
      </c>
      <c r="G743" t="s">
        <v>18</v>
      </c>
      <c r="H743" t="s">
        <v>19</v>
      </c>
      <c r="I743">
        <v>35361</v>
      </c>
      <c r="J743">
        <v>5</v>
      </c>
      <c r="K743" t="s">
        <v>49</v>
      </c>
      <c r="L743">
        <v>9160.2800000000007</v>
      </c>
    </row>
    <row r="744" spans="1:12" x14ac:dyDescent="0.3">
      <c r="A744" t="s">
        <v>1124</v>
      </c>
      <c r="B744" t="s">
        <v>1125</v>
      </c>
      <c r="C744" t="s">
        <v>63</v>
      </c>
      <c r="D744" t="s">
        <v>23</v>
      </c>
      <c r="E744" t="s">
        <v>82</v>
      </c>
      <c r="F744" t="s">
        <v>17</v>
      </c>
      <c r="G744" t="s">
        <v>18</v>
      </c>
      <c r="H744" t="s">
        <v>19</v>
      </c>
      <c r="I744">
        <v>18070</v>
      </c>
      <c r="J744">
        <v>9</v>
      </c>
      <c r="K744" t="s">
        <v>49</v>
      </c>
      <c r="L744">
        <v>2655.57</v>
      </c>
    </row>
    <row r="745" spans="1:12" x14ac:dyDescent="0.3">
      <c r="A745" t="s">
        <v>1126</v>
      </c>
      <c r="B745" t="s">
        <v>257</v>
      </c>
      <c r="C745" t="s">
        <v>91</v>
      </c>
      <c r="D745" t="s">
        <v>38</v>
      </c>
      <c r="E745" t="s">
        <v>67</v>
      </c>
      <c r="F745" t="s">
        <v>46</v>
      </c>
      <c r="G745" t="s">
        <v>47</v>
      </c>
      <c r="H745" t="s">
        <v>48</v>
      </c>
      <c r="I745">
        <v>26436</v>
      </c>
      <c r="J745">
        <v>6</v>
      </c>
      <c r="K745" t="s">
        <v>53</v>
      </c>
      <c r="L745">
        <v>3757.59</v>
      </c>
    </row>
    <row r="746" spans="1:12" x14ac:dyDescent="0.3">
      <c r="A746" t="s">
        <v>1127</v>
      </c>
      <c r="B746" t="s">
        <v>1027</v>
      </c>
      <c r="C746" t="s">
        <v>66</v>
      </c>
      <c r="D746" t="s">
        <v>32</v>
      </c>
      <c r="E746" t="s">
        <v>45</v>
      </c>
      <c r="F746" t="s">
        <v>17</v>
      </c>
      <c r="G746" t="s">
        <v>76</v>
      </c>
      <c r="H746" t="s">
        <v>77</v>
      </c>
      <c r="I746">
        <v>6418</v>
      </c>
      <c r="J746">
        <v>4</v>
      </c>
      <c r="K746" t="s">
        <v>28</v>
      </c>
      <c r="L746">
        <v>571.26</v>
      </c>
    </row>
    <row r="747" spans="1:12" x14ac:dyDescent="0.3">
      <c r="A747" t="s">
        <v>1128</v>
      </c>
      <c r="B747" t="s">
        <v>817</v>
      </c>
      <c r="C747" t="s">
        <v>121</v>
      </c>
      <c r="D747" t="s">
        <v>15</v>
      </c>
      <c r="E747" t="s">
        <v>73</v>
      </c>
      <c r="F747" t="s">
        <v>25</v>
      </c>
      <c r="G747" t="s">
        <v>26</v>
      </c>
      <c r="H747" t="s">
        <v>27</v>
      </c>
      <c r="I747">
        <v>27535</v>
      </c>
      <c r="J747">
        <v>2</v>
      </c>
      <c r="K747" t="s">
        <v>53</v>
      </c>
      <c r="L747">
        <v>5442.69</v>
      </c>
    </row>
    <row r="748" spans="1:12" x14ac:dyDescent="0.3">
      <c r="A748" t="s">
        <v>1129</v>
      </c>
      <c r="B748" t="s">
        <v>475</v>
      </c>
      <c r="C748" t="s">
        <v>66</v>
      </c>
      <c r="D748" t="s">
        <v>15</v>
      </c>
      <c r="E748" t="s">
        <v>16</v>
      </c>
      <c r="F748" t="s">
        <v>25</v>
      </c>
      <c r="G748" t="s">
        <v>57</v>
      </c>
      <c r="H748" t="s">
        <v>58</v>
      </c>
      <c r="I748">
        <v>51397</v>
      </c>
      <c r="J748">
        <v>1</v>
      </c>
      <c r="K748" t="s">
        <v>28</v>
      </c>
      <c r="L748">
        <v>10585.48</v>
      </c>
    </row>
    <row r="749" spans="1:12" x14ac:dyDescent="0.3">
      <c r="A749" t="s">
        <v>1130</v>
      </c>
      <c r="B749" t="s">
        <v>567</v>
      </c>
      <c r="C749" t="s">
        <v>91</v>
      </c>
      <c r="D749" t="s">
        <v>23</v>
      </c>
      <c r="E749" t="s">
        <v>24</v>
      </c>
      <c r="F749" t="s">
        <v>25</v>
      </c>
      <c r="G749" t="s">
        <v>40</v>
      </c>
      <c r="H749" t="s">
        <v>41</v>
      </c>
      <c r="I749">
        <v>57896</v>
      </c>
      <c r="J749">
        <v>6</v>
      </c>
      <c r="K749" t="s">
        <v>49</v>
      </c>
      <c r="L749">
        <v>10439.030000000001</v>
      </c>
    </row>
    <row r="750" spans="1:12" x14ac:dyDescent="0.3">
      <c r="A750" t="s">
        <v>1131</v>
      </c>
      <c r="B750" t="s">
        <v>502</v>
      </c>
      <c r="C750" t="s">
        <v>56</v>
      </c>
      <c r="D750" t="s">
        <v>32</v>
      </c>
      <c r="E750" t="s">
        <v>33</v>
      </c>
      <c r="F750" t="s">
        <v>25</v>
      </c>
      <c r="G750" t="s">
        <v>40</v>
      </c>
      <c r="H750" t="s">
        <v>41</v>
      </c>
      <c r="I750">
        <v>19313</v>
      </c>
      <c r="J750">
        <v>5</v>
      </c>
      <c r="K750" t="s">
        <v>20</v>
      </c>
      <c r="L750">
        <v>1638.43</v>
      </c>
    </row>
    <row r="751" spans="1:12" x14ac:dyDescent="0.3">
      <c r="A751" t="s">
        <v>1132</v>
      </c>
      <c r="B751" t="s">
        <v>262</v>
      </c>
      <c r="C751" t="s">
        <v>91</v>
      </c>
      <c r="D751" t="s">
        <v>38</v>
      </c>
      <c r="E751" t="s">
        <v>67</v>
      </c>
      <c r="F751" t="s">
        <v>17</v>
      </c>
      <c r="G751" t="s">
        <v>76</v>
      </c>
      <c r="H751" t="s">
        <v>77</v>
      </c>
      <c r="I751">
        <v>74830</v>
      </c>
      <c r="J751">
        <v>10</v>
      </c>
      <c r="K751" t="s">
        <v>28</v>
      </c>
      <c r="L751">
        <v>13793.76</v>
      </c>
    </row>
    <row r="752" spans="1:12" x14ac:dyDescent="0.3">
      <c r="A752" t="s">
        <v>1133</v>
      </c>
      <c r="B752" t="s">
        <v>304</v>
      </c>
      <c r="C752" t="s">
        <v>37</v>
      </c>
      <c r="D752" t="s">
        <v>32</v>
      </c>
      <c r="E752" t="s">
        <v>33</v>
      </c>
      <c r="F752" t="s">
        <v>25</v>
      </c>
      <c r="G752" t="s">
        <v>26</v>
      </c>
      <c r="H752" t="s">
        <v>27</v>
      </c>
      <c r="I752">
        <v>16841</v>
      </c>
      <c r="J752">
        <v>5</v>
      </c>
      <c r="K752" t="s">
        <v>53</v>
      </c>
      <c r="L752">
        <v>1369.99</v>
      </c>
    </row>
    <row r="753" spans="1:12" x14ac:dyDescent="0.3">
      <c r="A753" t="s">
        <v>1134</v>
      </c>
      <c r="B753" t="s">
        <v>677</v>
      </c>
      <c r="C753" t="s">
        <v>31</v>
      </c>
      <c r="D753" t="s">
        <v>38</v>
      </c>
      <c r="E753" t="s">
        <v>52</v>
      </c>
      <c r="F753" t="s">
        <v>25</v>
      </c>
      <c r="G753" t="s">
        <v>57</v>
      </c>
      <c r="H753" t="s">
        <v>58</v>
      </c>
      <c r="I753">
        <v>61145</v>
      </c>
      <c r="J753">
        <v>4</v>
      </c>
      <c r="K753" t="s">
        <v>53</v>
      </c>
      <c r="L753">
        <v>12004</v>
      </c>
    </row>
    <row r="754" spans="1:12" x14ac:dyDescent="0.3">
      <c r="A754" t="s">
        <v>1135</v>
      </c>
      <c r="B754" t="s">
        <v>164</v>
      </c>
      <c r="C754" t="s">
        <v>14</v>
      </c>
      <c r="D754" t="s">
        <v>32</v>
      </c>
      <c r="E754" t="s">
        <v>33</v>
      </c>
      <c r="F754" t="s">
        <v>17</v>
      </c>
      <c r="G754" t="s">
        <v>18</v>
      </c>
      <c r="H754" t="s">
        <v>19</v>
      </c>
      <c r="I754">
        <v>20972</v>
      </c>
      <c r="J754">
        <v>6</v>
      </c>
      <c r="K754" t="s">
        <v>28</v>
      </c>
      <c r="L754">
        <v>5413.81</v>
      </c>
    </row>
    <row r="755" spans="1:12" x14ac:dyDescent="0.3">
      <c r="A755" t="s">
        <v>1136</v>
      </c>
      <c r="B755" t="s">
        <v>654</v>
      </c>
      <c r="C755" t="s">
        <v>121</v>
      </c>
      <c r="D755" t="s">
        <v>38</v>
      </c>
      <c r="E755" t="s">
        <v>39</v>
      </c>
      <c r="F755" t="s">
        <v>46</v>
      </c>
      <c r="G755" t="s">
        <v>94</v>
      </c>
      <c r="H755" t="s">
        <v>95</v>
      </c>
      <c r="I755">
        <v>61977</v>
      </c>
      <c r="J755">
        <v>2</v>
      </c>
      <c r="K755" t="s">
        <v>49</v>
      </c>
      <c r="L755">
        <v>16856.849999999999</v>
      </c>
    </row>
    <row r="756" spans="1:12" x14ac:dyDescent="0.3">
      <c r="A756" t="s">
        <v>1137</v>
      </c>
      <c r="B756" t="s">
        <v>559</v>
      </c>
      <c r="C756" t="s">
        <v>56</v>
      </c>
      <c r="D756" t="s">
        <v>32</v>
      </c>
      <c r="E756" t="s">
        <v>33</v>
      </c>
      <c r="F756" t="s">
        <v>25</v>
      </c>
      <c r="G756" t="s">
        <v>26</v>
      </c>
      <c r="H756" t="s">
        <v>27</v>
      </c>
      <c r="I756">
        <v>61110</v>
      </c>
      <c r="J756">
        <v>7</v>
      </c>
      <c r="K756" t="s">
        <v>20</v>
      </c>
      <c r="L756">
        <v>16043.83</v>
      </c>
    </row>
    <row r="757" spans="1:12" x14ac:dyDescent="0.3">
      <c r="A757" t="s">
        <v>1138</v>
      </c>
      <c r="B757" t="s">
        <v>555</v>
      </c>
      <c r="C757" t="s">
        <v>14</v>
      </c>
      <c r="D757" t="s">
        <v>15</v>
      </c>
      <c r="E757" t="s">
        <v>16</v>
      </c>
      <c r="F757" t="s">
        <v>25</v>
      </c>
      <c r="G757" t="s">
        <v>40</v>
      </c>
      <c r="H757" t="s">
        <v>41</v>
      </c>
      <c r="I757">
        <v>61879</v>
      </c>
      <c r="J757">
        <v>3</v>
      </c>
      <c r="K757" t="s">
        <v>53</v>
      </c>
      <c r="L757">
        <v>5056.2</v>
      </c>
    </row>
    <row r="758" spans="1:12" x14ac:dyDescent="0.3">
      <c r="A758" t="s">
        <v>1139</v>
      </c>
      <c r="B758" t="s">
        <v>137</v>
      </c>
      <c r="C758" t="s">
        <v>56</v>
      </c>
      <c r="D758" t="s">
        <v>15</v>
      </c>
      <c r="E758" t="s">
        <v>154</v>
      </c>
      <c r="F758" t="s">
        <v>17</v>
      </c>
      <c r="G758" t="s">
        <v>76</v>
      </c>
      <c r="H758" t="s">
        <v>77</v>
      </c>
      <c r="I758">
        <v>35627</v>
      </c>
      <c r="J758">
        <v>3</v>
      </c>
      <c r="K758" t="s">
        <v>20</v>
      </c>
      <c r="L758">
        <v>3858.36</v>
      </c>
    </row>
    <row r="759" spans="1:12" x14ac:dyDescent="0.3">
      <c r="A759" t="s">
        <v>1140</v>
      </c>
      <c r="B759" t="s">
        <v>900</v>
      </c>
      <c r="C759" t="s">
        <v>37</v>
      </c>
      <c r="D759" t="s">
        <v>32</v>
      </c>
      <c r="E759" t="s">
        <v>33</v>
      </c>
      <c r="F759" t="s">
        <v>17</v>
      </c>
      <c r="G759" t="s">
        <v>104</v>
      </c>
      <c r="H759" t="s">
        <v>105</v>
      </c>
      <c r="I759">
        <v>5611</v>
      </c>
      <c r="J759">
        <v>6</v>
      </c>
      <c r="K759" t="s">
        <v>20</v>
      </c>
      <c r="L759">
        <v>1312.7</v>
      </c>
    </row>
    <row r="760" spans="1:12" x14ac:dyDescent="0.3">
      <c r="A760" t="s">
        <v>1141</v>
      </c>
      <c r="B760" t="s">
        <v>97</v>
      </c>
      <c r="C760" t="s">
        <v>91</v>
      </c>
      <c r="D760" t="s">
        <v>38</v>
      </c>
      <c r="E760" t="s">
        <v>52</v>
      </c>
      <c r="F760" t="s">
        <v>17</v>
      </c>
      <c r="G760" t="s">
        <v>104</v>
      </c>
      <c r="H760" t="s">
        <v>105</v>
      </c>
      <c r="I760">
        <v>31871</v>
      </c>
      <c r="J760">
        <v>10</v>
      </c>
      <c r="K760" t="s">
        <v>34</v>
      </c>
      <c r="L760">
        <v>6138.68</v>
      </c>
    </row>
    <row r="761" spans="1:12" x14ac:dyDescent="0.3">
      <c r="A761" t="s">
        <v>1142</v>
      </c>
      <c r="B761" t="s">
        <v>1143</v>
      </c>
      <c r="C761" t="s">
        <v>56</v>
      </c>
      <c r="D761" t="s">
        <v>23</v>
      </c>
      <c r="E761" t="s">
        <v>82</v>
      </c>
      <c r="F761" t="s">
        <v>17</v>
      </c>
      <c r="G761" t="s">
        <v>76</v>
      </c>
      <c r="H761" t="s">
        <v>77</v>
      </c>
      <c r="I761">
        <v>13263</v>
      </c>
      <c r="J761">
        <v>8</v>
      </c>
      <c r="K761" t="s">
        <v>28</v>
      </c>
      <c r="L761">
        <v>1855.54</v>
      </c>
    </row>
    <row r="762" spans="1:12" x14ac:dyDescent="0.3">
      <c r="A762" t="s">
        <v>1144</v>
      </c>
      <c r="B762" t="s">
        <v>539</v>
      </c>
      <c r="C762" t="s">
        <v>14</v>
      </c>
      <c r="D762" t="s">
        <v>23</v>
      </c>
      <c r="E762" t="s">
        <v>129</v>
      </c>
      <c r="F762" t="s">
        <v>17</v>
      </c>
      <c r="G762" t="s">
        <v>18</v>
      </c>
      <c r="H762" t="s">
        <v>19</v>
      </c>
      <c r="I762">
        <v>46161</v>
      </c>
      <c r="J762">
        <v>3</v>
      </c>
      <c r="K762" t="s">
        <v>20</v>
      </c>
      <c r="L762">
        <v>4990.29</v>
      </c>
    </row>
    <row r="763" spans="1:12" x14ac:dyDescent="0.3">
      <c r="A763" t="s">
        <v>1145</v>
      </c>
      <c r="B763" t="s">
        <v>397</v>
      </c>
      <c r="C763" t="s">
        <v>31</v>
      </c>
      <c r="D763" t="s">
        <v>32</v>
      </c>
      <c r="E763" t="s">
        <v>45</v>
      </c>
      <c r="F763" t="s">
        <v>46</v>
      </c>
      <c r="G763" t="s">
        <v>47</v>
      </c>
      <c r="H763" t="s">
        <v>48</v>
      </c>
      <c r="I763">
        <v>945</v>
      </c>
      <c r="J763">
        <v>2</v>
      </c>
      <c r="K763" t="s">
        <v>53</v>
      </c>
      <c r="L763">
        <v>180.44</v>
      </c>
    </row>
    <row r="764" spans="1:12" x14ac:dyDescent="0.3">
      <c r="A764" t="s">
        <v>1146</v>
      </c>
      <c r="B764" t="s">
        <v>30</v>
      </c>
      <c r="C764" t="s">
        <v>91</v>
      </c>
      <c r="D764" t="s">
        <v>38</v>
      </c>
      <c r="E764" t="s">
        <v>67</v>
      </c>
      <c r="F764" t="s">
        <v>25</v>
      </c>
      <c r="G764" t="s">
        <v>40</v>
      </c>
      <c r="H764" t="s">
        <v>41</v>
      </c>
      <c r="I764">
        <v>33968</v>
      </c>
      <c r="J764">
        <v>7</v>
      </c>
      <c r="K764" t="s">
        <v>53</v>
      </c>
      <c r="L764">
        <v>8951.52</v>
      </c>
    </row>
    <row r="765" spans="1:12" x14ac:dyDescent="0.3">
      <c r="A765" t="s">
        <v>1147</v>
      </c>
      <c r="B765" t="s">
        <v>809</v>
      </c>
      <c r="C765" t="s">
        <v>121</v>
      </c>
      <c r="D765" t="s">
        <v>32</v>
      </c>
      <c r="E765" t="s">
        <v>33</v>
      </c>
      <c r="F765" t="s">
        <v>17</v>
      </c>
      <c r="G765" t="s">
        <v>76</v>
      </c>
      <c r="H765" t="s">
        <v>77</v>
      </c>
      <c r="I765">
        <v>69998</v>
      </c>
      <c r="J765">
        <v>3</v>
      </c>
      <c r="K765" t="s">
        <v>20</v>
      </c>
      <c r="L765">
        <v>8808.8799999999992</v>
      </c>
    </row>
    <row r="766" spans="1:12" x14ac:dyDescent="0.3">
      <c r="A766" t="s">
        <v>1148</v>
      </c>
      <c r="B766" t="s">
        <v>803</v>
      </c>
      <c r="C766" t="s">
        <v>44</v>
      </c>
      <c r="D766" t="s">
        <v>32</v>
      </c>
      <c r="E766" t="s">
        <v>45</v>
      </c>
      <c r="F766" t="s">
        <v>25</v>
      </c>
      <c r="G766" t="s">
        <v>57</v>
      </c>
      <c r="H766" t="s">
        <v>58</v>
      </c>
      <c r="I766">
        <v>819</v>
      </c>
      <c r="J766">
        <v>2</v>
      </c>
      <c r="K766" t="s">
        <v>49</v>
      </c>
      <c r="L766">
        <v>134.32</v>
      </c>
    </row>
    <row r="767" spans="1:12" x14ac:dyDescent="0.3">
      <c r="A767" t="s">
        <v>1149</v>
      </c>
      <c r="B767" t="s">
        <v>564</v>
      </c>
      <c r="C767" t="s">
        <v>91</v>
      </c>
      <c r="D767" t="s">
        <v>15</v>
      </c>
      <c r="E767" t="s">
        <v>73</v>
      </c>
      <c r="F767" t="s">
        <v>25</v>
      </c>
      <c r="G767" t="s">
        <v>40</v>
      </c>
      <c r="H767" t="s">
        <v>41</v>
      </c>
      <c r="I767">
        <v>21489</v>
      </c>
      <c r="J767">
        <v>1</v>
      </c>
      <c r="K767" t="s">
        <v>53</v>
      </c>
      <c r="L767">
        <v>4795.2</v>
      </c>
    </row>
    <row r="768" spans="1:12" x14ac:dyDescent="0.3">
      <c r="A768" t="s">
        <v>1150</v>
      </c>
      <c r="B768" t="s">
        <v>120</v>
      </c>
      <c r="C768" t="s">
        <v>37</v>
      </c>
      <c r="D768" t="s">
        <v>38</v>
      </c>
      <c r="E768" t="s">
        <v>52</v>
      </c>
      <c r="F768" t="s">
        <v>46</v>
      </c>
      <c r="G768" t="s">
        <v>87</v>
      </c>
      <c r="H768" t="s">
        <v>88</v>
      </c>
      <c r="I768">
        <v>13240</v>
      </c>
      <c r="J768">
        <v>7</v>
      </c>
      <c r="K768" t="s">
        <v>49</v>
      </c>
      <c r="L768">
        <v>1219.25</v>
      </c>
    </row>
    <row r="769" spans="1:12" x14ac:dyDescent="0.3">
      <c r="A769" t="s">
        <v>1151</v>
      </c>
      <c r="B769" t="s">
        <v>36</v>
      </c>
      <c r="C769" t="s">
        <v>44</v>
      </c>
      <c r="D769" t="s">
        <v>15</v>
      </c>
      <c r="E769" t="s">
        <v>154</v>
      </c>
      <c r="F769" t="s">
        <v>25</v>
      </c>
      <c r="G769" t="s">
        <v>40</v>
      </c>
      <c r="H769" t="s">
        <v>41</v>
      </c>
      <c r="I769">
        <v>9443</v>
      </c>
      <c r="J769">
        <v>4</v>
      </c>
      <c r="K769" t="s">
        <v>28</v>
      </c>
      <c r="L769">
        <v>1125.17</v>
      </c>
    </row>
    <row r="770" spans="1:12" x14ac:dyDescent="0.3">
      <c r="A770" t="s">
        <v>1152</v>
      </c>
      <c r="B770" t="s">
        <v>647</v>
      </c>
      <c r="C770" t="s">
        <v>72</v>
      </c>
      <c r="D770" t="s">
        <v>15</v>
      </c>
      <c r="E770" t="s">
        <v>154</v>
      </c>
      <c r="F770" t="s">
        <v>46</v>
      </c>
      <c r="G770" t="s">
        <v>47</v>
      </c>
      <c r="H770" t="s">
        <v>48</v>
      </c>
      <c r="I770">
        <v>40130</v>
      </c>
      <c r="J770">
        <v>6</v>
      </c>
      <c r="K770" t="s">
        <v>20</v>
      </c>
      <c r="L770">
        <v>5116.7299999999996</v>
      </c>
    </row>
    <row r="771" spans="1:12" x14ac:dyDescent="0.3">
      <c r="A771" t="s">
        <v>1153</v>
      </c>
      <c r="B771" t="s">
        <v>176</v>
      </c>
      <c r="C771" t="s">
        <v>121</v>
      </c>
      <c r="D771" t="s">
        <v>23</v>
      </c>
      <c r="E771" t="s">
        <v>24</v>
      </c>
      <c r="F771" t="s">
        <v>25</v>
      </c>
      <c r="G771" t="s">
        <v>26</v>
      </c>
      <c r="H771" t="s">
        <v>27</v>
      </c>
      <c r="I771">
        <v>10892</v>
      </c>
      <c r="J771">
        <v>5</v>
      </c>
      <c r="K771" t="s">
        <v>49</v>
      </c>
      <c r="L771">
        <v>2424.63</v>
      </c>
    </row>
    <row r="772" spans="1:12" x14ac:dyDescent="0.3">
      <c r="A772" t="s">
        <v>1154</v>
      </c>
      <c r="B772" t="s">
        <v>944</v>
      </c>
      <c r="C772" t="s">
        <v>72</v>
      </c>
      <c r="D772" t="s">
        <v>15</v>
      </c>
      <c r="E772" t="s">
        <v>16</v>
      </c>
      <c r="F772" t="s">
        <v>25</v>
      </c>
      <c r="G772" t="s">
        <v>26</v>
      </c>
      <c r="H772" t="s">
        <v>27</v>
      </c>
      <c r="I772">
        <v>3478</v>
      </c>
      <c r="J772">
        <v>5</v>
      </c>
      <c r="K772" t="s">
        <v>53</v>
      </c>
      <c r="L772">
        <v>731.89</v>
      </c>
    </row>
    <row r="773" spans="1:12" x14ac:dyDescent="0.3">
      <c r="A773" t="s">
        <v>1155</v>
      </c>
      <c r="B773" t="s">
        <v>963</v>
      </c>
      <c r="C773" t="s">
        <v>31</v>
      </c>
      <c r="D773" t="s">
        <v>15</v>
      </c>
      <c r="E773" t="s">
        <v>73</v>
      </c>
      <c r="F773" t="s">
        <v>25</v>
      </c>
      <c r="G773" t="s">
        <v>40</v>
      </c>
      <c r="H773" t="s">
        <v>41</v>
      </c>
      <c r="I773">
        <v>815</v>
      </c>
      <c r="J773">
        <v>10</v>
      </c>
      <c r="K773" t="s">
        <v>20</v>
      </c>
      <c r="L773">
        <v>128.02000000000001</v>
      </c>
    </row>
    <row r="774" spans="1:12" x14ac:dyDescent="0.3">
      <c r="A774" t="s">
        <v>1156</v>
      </c>
      <c r="B774" t="s">
        <v>330</v>
      </c>
      <c r="C774" t="s">
        <v>66</v>
      </c>
      <c r="D774" t="s">
        <v>32</v>
      </c>
      <c r="E774" t="s">
        <v>33</v>
      </c>
      <c r="F774" t="s">
        <v>46</v>
      </c>
      <c r="G774" t="s">
        <v>87</v>
      </c>
      <c r="H774" t="s">
        <v>88</v>
      </c>
      <c r="I774">
        <v>6171</v>
      </c>
      <c r="J774">
        <v>8</v>
      </c>
      <c r="K774" t="s">
        <v>53</v>
      </c>
      <c r="L774">
        <v>841.13</v>
      </c>
    </row>
    <row r="775" spans="1:12" x14ac:dyDescent="0.3">
      <c r="A775" t="s">
        <v>1157</v>
      </c>
      <c r="B775" t="s">
        <v>1158</v>
      </c>
      <c r="C775" t="s">
        <v>91</v>
      </c>
      <c r="D775" t="s">
        <v>15</v>
      </c>
      <c r="E775" t="s">
        <v>73</v>
      </c>
      <c r="F775" t="s">
        <v>25</v>
      </c>
      <c r="G775" t="s">
        <v>57</v>
      </c>
      <c r="H775" t="s">
        <v>58</v>
      </c>
      <c r="I775">
        <v>28893</v>
      </c>
      <c r="J775">
        <v>3</v>
      </c>
      <c r="K775" t="s">
        <v>28</v>
      </c>
      <c r="L775">
        <v>6770.84</v>
      </c>
    </row>
    <row r="776" spans="1:12" x14ac:dyDescent="0.3">
      <c r="A776" t="s">
        <v>1159</v>
      </c>
      <c r="B776" t="s">
        <v>292</v>
      </c>
      <c r="C776" t="s">
        <v>66</v>
      </c>
      <c r="D776" t="s">
        <v>15</v>
      </c>
      <c r="E776" t="s">
        <v>154</v>
      </c>
      <c r="F776" t="s">
        <v>17</v>
      </c>
      <c r="G776" t="s">
        <v>104</v>
      </c>
      <c r="H776" t="s">
        <v>105</v>
      </c>
      <c r="I776">
        <v>74271</v>
      </c>
      <c r="J776">
        <v>7</v>
      </c>
      <c r="K776" t="s">
        <v>49</v>
      </c>
      <c r="L776">
        <v>5947.54</v>
      </c>
    </row>
    <row r="777" spans="1:12" x14ac:dyDescent="0.3">
      <c r="A777" t="s">
        <v>1160</v>
      </c>
      <c r="B777" t="s">
        <v>1161</v>
      </c>
      <c r="C777" t="s">
        <v>44</v>
      </c>
      <c r="D777" t="s">
        <v>38</v>
      </c>
      <c r="E777" t="s">
        <v>52</v>
      </c>
      <c r="F777" t="s">
        <v>17</v>
      </c>
      <c r="G777" t="s">
        <v>76</v>
      </c>
      <c r="H777" t="s">
        <v>77</v>
      </c>
      <c r="I777">
        <v>39380</v>
      </c>
      <c r="J777">
        <v>6</v>
      </c>
      <c r="K777" t="s">
        <v>53</v>
      </c>
      <c r="L777">
        <v>3613.51</v>
      </c>
    </row>
    <row r="778" spans="1:12" x14ac:dyDescent="0.3">
      <c r="A778" t="s">
        <v>1162</v>
      </c>
      <c r="B778" t="s">
        <v>406</v>
      </c>
      <c r="C778" t="s">
        <v>14</v>
      </c>
      <c r="D778" t="s">
        <v>23</v>
      </c>
      <c r="E778" t="s">
        <v>129</v>
      </c>
      <c r="F778" t="s">
        <v>17</v>
      </c>
      <c r="G778" t="s">
        <v>76</v>
      </c>
      <c r="H778" t="s">
        <v>77</v>
      </c>
      <c r="I778">
        <v>33772</v>
      </c>
      <c r="J778">
        <v>5</v>
      </c>
      <c r="K778" t="s">
        <v>49</v>
      </c>
      <c r="L778">
        <v>7234.03</v>
      </c>
    </row>
    <row r="779" spans="1:12" x14ac:dyDescent="0.3">
      <c r="A779" t="s">
        <v>1163</v>
      </c>
      <c r="B779" t="s">
        <v>907</v>
      </c>
      <c r="C779" t="s">
        <v>121</v>
      </c>
      <c r="D779" t="s">
        <v>32</v>
      </c>
      <c r="E779" t="s">
        <v>45</v>
      </c>
      <c r="F779" t="s">
        <v>25</v>
      </c>
      <c r="G779" t="s">
        <v>57</v>
      </c>
      <c r="H779" t="s">
        <v>58</v>
      </c>
      <c r="I779">
        <v>63750</v>
      </c>
      <c r="J779">
        <v>9</v>
      </c>
      <c r="K779" t="s">
        <v>20</v>
      </c>
      <c r="L779">
        <v>6138.45</v>
      </c>
    </row>
    <row r="780" spans="1:12" x14ac:dyDescent="0.3">
      <c r="A780" t="s">
        <v>1164</v>
      </c>
      <c r="B780" t="s">
        <v>230</v>
      </c>
      <c r="C780" t="s">
        <v>91</v>
      </c>
      <c r="D780" t="s">
        <v>32</v>
      </c>
      <c r="E780" t="s">
        <v>33</v>
      </c>
      <c r="F780" t="s">
        <v>46</v>
      </c>
      <c r="G780" t="s">
        <v>47</v>
      </c>
      <c r="H780" t="s">
        <v>48</v>
      </c>
      <c r="I780">
        <v>8699</v>
      </c>
      <c r="J780">
        <v>7</v>
      </c>
      <c r="K780" t="s">
        <v>20</v>
      </c>
      <c r="L780">
        <v>794.7</v>
      </c>
    </row>
    <row r="781" spans="1:12" x14ac:dyDescent="0.3">
      <c r="A781" t="s">
        <v>1165</v>
      </c>
      <c r="B781" t="s">
        <v>1045</v>
      </c>
      <c r="C781" t="s">
        <v>121</v>
      </c>
      <c r="D781" t="s">
        <v>15</v>
      </c>
      <c r="E781" t="s">
        <v>73</v>
      </c>
      <c r="F781" t="s">
        <v>25</v>
      </c>
      <c r="G781" t="s">
        <v>57</v>
      </c>
      <c r="H781" t="s">
        <v>58</v>
      </c>
      <c r="I781">
        <v>57251</v>
      </c>
      <c r="J781">
        <v>3</v>
      </c>
      <c r="K781" t="s">
        <v>53</v>
      </c>
      <c r="L781">
        <v>13020.35</v>
      </c>
    </row>
    <row r="782" spans="1:12" x14ac:dyDescent="0.3">
      <c r="A782" t="s">
        <v>1166</v>
      </c>
      <c r="B782" t="s">
        <v>1079</v>
      </c>
      <c r="C782" t="s">
        <v>14</v>
      </c>
      <c r="D782" t="s">
        <v>23</v>
      </c>
      <c r="E782" t="s">
        <v>82</v>
      </c>
      <c r="F782" t="s">
        <v>46</v>
      </c>
      <c r="G782" t="s">
        <v>87</v>
      </c>
      <c r="H782" t="s">
        <v>88</v>
      </c>
      <c r="I782">
        <v>40509</v>
      </c>
      <c r="J782">
        <v>1</v>
      </c>
      <c r="K782" t="s">
        <v>53</v>
      </c>
      <c r="L782">
        <v>7278.46</v>
      </c>
    </row>
    <row r="783" spans="1:12" x14ac:dyDescent="0.3">
      <c r="A783" t="s">
        <v>1167</v>
      </c>
      <c r="B783" t="s">
        <v>661</v>
      </c>
      <c r="C783" t="s">
        <v>37</v>
      </c>
      <c r="D783" t="s">
        <v>15</v>
      </c>
      <c r="E783" t="s">
        <v>73</v>
      </c>
      <c r="F783" t="s">
        <v>25</v>
      </c>
      <c r="G783" t="s">
        <v>26</v>
      </c>
      <c r="H783" t="s">
        <v>27</v>
      </c>
      <c r="I783">
        <v>49842</v>
      </c>
      <c r="J783">
        <v>3</v>
      </c>
      <c r="K783" t="s">
        <v>49</v>
      </c>
      <c r="L783">
        <v>7467.13</v>
      </c>
    </row>
    <row r="784" spans="1:12" x14ac:dyDescent="0.3">
      <c r="A784" t="s">
        <v>1168</v>
      </c>
      <c r="B784" t="s">
        <v>447</v>
      </c>
      <c r="C784" t="s">
        <v>44</v>
      </c>
      <c r="D784" t="s">
        <v>38</v>
      </c>
      <c r="E784" t="s">
        <v>52</v>
      </c>
      <c r="F784" t="s">
        <v>17</v>
      </c>
      <c r="G784" t="s">
        <v>76</v>
      </c>
      <c r="H784" t="s">
        <v>77</v>
      </c>
      <c r="I784">
        <v>66252</v>
      </c>
      <c r="J784">
        <v>10</v>
      </c>
      <c r="K784" t="s">
        <v>28</v>
      </c>
      <c r="L784">
        <v>11253.43</v>
      </c>
    </row>
    <row r="785" spans="1:12" x14ac:dyDescent="0.3">
      <c r="A785" t="s">
        <v>1169</v>
      </c>
      <c r="B785" t="s">
        <v>608</v>
      </c>
      <c r="C785" t="s">
        <v>56</v>
      </c>
      <c r="D785" t="s">
        <v>15</v>
      </c>
      <c r="E785" t="s">
        <v>154</v>
      </c>
      <c r="F785" t="s">
        <v>17</v>
      </c>
      <c r="G785" t="s">
        <v>76</v>
      </c>
      <c r="H785" t="s">
        <v>77</v>
      </c>
      <c r="I785">
        <v>14808</v>
      </c>
      <c r="J785">
        <v>6</v>
      </c>
      <c r="K785" t="s">
        <v>34</v>
      </c>
      <c r="L785">
        <v>2358.96</v>
      </c>
    </row>
    <row r="786" spans="1:12" x14ac:dyDescent="0.3">
      <c r="A786" t="s">
        <v>1170</v>
      </c>
      <c r="B786" t="s">
        <v>120</v>
      </c>
      <c r="C786" t="s">
        <v>56</v>
      </c>
      <c r="D786" t="s">
        <v>38</v>
      </c>
      <c r="E786" t="s">
        <v>52</v>
      </c>
      <c r="F786" t="s">
        <v>46</v>
      </c>
      <c r="G786" t="s">
        <v>94</v>
      </c>
      <c r="H786" t="s">
        <v>95</v>
      </c>
      <c r="I786">
        <v>51472</v>
      </c>
      <c r="J786">
        <v>2</v>
      </c>
      <c r="K786" t="s">
        <v>34</v>
      </c>
      <c r="L786">
        <v>5312.99</v>
      </c>
    </row>
    <row r="787" spans="1:12" x14ac:dyDescent="0.3">
      <c r="A787" t="s">
        <v>1171</v>
      </c>
      <c r="B787" t="s">
        <v>577</v>
      </c>
      <c r="C787" t="s">
        <v>66</v>
      </c>
      <c r="D787" t="s">
        <v>15</v>
      </c>
      <c r="E787" t="s">
        <v>154</v>
      </c>
      <c r="F787" t="s">
        <v>17</v>
      </c>
      <c r="G787" t="s">
        <v>18</v>
      </c>
      <c r="H787" t="s">
        <v>19</v>
      </c>
      <c r="I787">
        <v>42039</v>
      </c>
      <c r="J787">
        <v>5</v>
      </c>
      <c r="K787" t="s">
        <v>20</v>
      </c>
      <c r="L787">
        <v>11155.75</v>
      </c>
    </row>
    <row r="788" spans="1:12" x14ac:dyDescent="0.3">
      <c r="A788" t="s">
        <v>1172</v>
      </c>
      <c r="B788" t="s">
        <v>268</v>
      </c>
      <c r="C788" t="s">
        <v>91</v>
      </c>
      <c r="D788" t="s">
        <v>32</v>
      </c>
      <c r="E788" t="s">
        <v>45</v>
      </c>
      <c r="F788" t="s">
        <v>46</v>
      </c>
      <c r="G788" t="s">
        <v>47</v>
      </c>
      <c r="H788" t="s">
        <v>48</v>
      </c>
      <c r="I788">
        <v>60635</v>
      </c>
      <c r="J788">
        <v>5</v>
      </c>
      <c r="K788" t="s">
        <v>28</v>
      </c>
      <c r="L788">
        <v>9227.09</v>
      </c>
    </row>
    <row r="789" spans="1:12" x14ac:dyDescent="0.3">
      <c r="A789" t="s">
        <v>1173</v>
      </c>
      <c r="B789" t="s">
        <v>281</v>
      </c>
      <c r="C789" t="s">
        <v>121</v>
      </c>
      <c r="D789" t="s">
        <v>38</v>
      </c>
      <c r="E789" t="s">
        <v>39</v>
      </c>
      <c r="F789" t="s">
        <v>17</v>
      </c>
      <c r="G789" t="s">
        <v>104</v>
      </c>
      <c r="H789" t="s">
        <v>105</v>
      </c>
      <c r="I789">
        <v>49397</v>
      </c>
      <c r="J789">
        <v>6</v>
      </c>
      <c r="K789" t="s">
        <v>53</v>
      </c>
      <c r="L789">
        <v>8042.1</v>
      </c>
    </row>
    <row r="790" spans="1:12" x14ac:dyDescent="0.3">
      <c r="A790" t="s">
        <v>1174</v>
      </c>
      <c r="B790" t="s">
        <v>707</v>
      </c>
      <c r="C790" t="s">
        <v>63</v>
      </c>
      <c r="D790" t="s">
        <v>38</v>
      </c>
      <c r="E790" t="s">
        <v>52</v>
      </c>
      <c r="F790" t="s">
        <v>17</v>
      </c>
      <c r="G790" t="s">
        <v>76</v>
      </c>
      <c r="H790" t="s">
        <v>77</v>
      </c>
      <c r="I790">
        <v>68631</v>
      </c>
      <c r="J790">
        <v>4</v>
      </c>
      <c r="K790" t="s">
        <v>53</v>
      </c>
      <c r="L790">
        <v>5397.56</v>
      </c>
    </row>
    <row r="791" spans="1:12" x14ac:dyDescent="0.3">
      <c r="A791" t="s">
        <v>1175</v>
      </c>
      <c r="B791" t="s">
        <v>184</v>
      </c>
      <c r="C791" t="s">
        <v>91</v>
      </c>
      <c r="D791" t="s">
        <v>38</v>
      </c>
      <c r="E791" t="s">
        <v>67</v>
      </c>
      <c r="F791" t="s">
        <v>46</v>
      </c>
      <c r="G791" t="s">
        <v>94</v>
      </c>
      <c r="H791" t="s">
        <v>95</v>
      </c>
      <c r="I791">
        <v>23131</v>
      </c>
      <c r="J791">
        <v>7</v>
      </c>
      <c r="K791" t="s">
        <v>53</v>
      </c>
      <c r="L791">
        <v>4688.7299999999996</v>
      </c>
    </row>
    <row r="792" spans="1:12" x14ac:dyDescent="0.3">
      <c r="A792" t="s">
        <v>1176</v>
      </c>
      <c r="B792" t="s">
        <v>255</v>
      </c>
      <c r="C792" t="s">
        <v>121</v>
      </c>
      <c r="D792" t="s">
        <v>32</v>
      </c>
      <c r="E792" t="s">
        <v>45</v>
      </c>
      <c r="F792" t="s">
        <v>46</v>
      </c>
      <c r="G792" t="s">
        <v>87</v>
      </c>
      <c r="H792" t="s">
        <v>88</v>
      </c>
      <c r="I792">
        <v>78904</v>
      </c>
      <c r="J792">
        <v>8</v>
      </c>
      <c r="K792" t="s">
        <v>53</v>
      </c>
      <c r="L792">
        <v>13392.01</v>
      </c>
    </row>
    <row r="793" spans="1:12" x14ac:dyDescent="0.3">
      <c r="A793" t="s">
        <v>1177</v>
      </c>
      <c r="B793" t="s">
        <v>600</v>
      </c>
      <c r="C793" t="s">
        <v>37</v>
      </c>
      <c r="D793" t="s">
        <v>32</v>
      </c>
      <c r="E793" t="s">
        <v>116</v>
      </c>
      <c r="F793" t="s">
        <v>46</v>
      </c>
      <c r="G793" t="s">
        <v>87</v>
      </c>
      <c r="H793" t="s">
        <v>88</v>
      </c>
      <c r="I793">
        <v>65022</v>
      </c>
      <c r="J793">
        <v>2</v>
      </c>
      <c r="K793" t="s">
        <v>34</v>
      </c>
      <c r="L793">
        <v>10153.93</v>
      </c>
    </row>
    <row r="794" spans="1:12" x14ac:dyDescent="0.3">
      <c r="A794" t="s">
        <v>1178</v>
      </c>
      <c r="B794" t="s">
        <v>960</v>
      </c>
      <c r="C794" t="s">
        <v>31</v>
      </c>
      <c r="D794" t="s">
        <v>23</v>
      </c>
      <c r="E794" t="s">
        <v>129</v>
      </c>
      <c r="F794" t="s">
        <v>17</v>
      </c>
      <c r="G794" t="s">
        <v>104</v>
      </c>
      <c r="H794" t="s">
        <v>105</v>
      </c>
      <c r="I794">
        <v>6157</v>
      </c>
      <c r="J794">
        <v>9</v>
      </c>
      <c r="K794" t="s">
        <v>53</v>
      </c>
      <c r="L794">
        <v>1639.92</v>
      </c>
    </row>
    <row r="795" spans="1:12" x14ac:dyDescent="0.3">
      <c r="A795" t="s">
        <v>1179</v>
      </c>
      <c r="B795" t="s">
        <v>687</v>
      </c>
      <c r="C795" t="s">
        <v>72</v>
      </c>
      <c r="D795" t="s">
        <v>32</v>
      </c>
      <c r="E795" t="s">
        <v>45</v>
      </c>
      <c r="F795" t="s">
        <v>17</v>
      </c>
      <c r="G795" t="s">
        <v>18</v>
      </c>
      <c r="H795" t="s">
        <v>19</v>
      </c>
      <c r="I795">
        <v>75594</v>
      </c>
      <c r="J795">
        <v>6</v>
      </c>
      <c r="K795" t="s">
        <v>20</v>
      </c>
      <c r="L795">
        <v>10667.95</v>
      </c>
    </row>
    <row r="796" spans="1:12" x14ac:dyDescent="0.3">
      <c r="A796" t="s">
        <v>1180</v>
      </c>
      <c r="B796" t="s">
        <v>334</v>
      </c>
      <c r="C796" t="s">
        <v>56</v>
      </c>
      <c r="D796" t="s">
        <v>38</v>
      </c>
      <c r="E796" t="s">
        <v>52</v>
      </c>
      <c r="F796" t="s">
        <v>25</v>
      </c>
      <c r="G796" t="s">
        <v>57</v>
      </c>
      <c r="H796" t="s">
        <v>58</v>
      </c>
      <c r="I796">
        <v>5368</v>
      </c>
      <c r="J796">
        <v>9</v>
      </c>
      <c r="K796" t="s">
        <v>20</v>
      </c>
      <c r="L796">
        <v>621.57000000000005</v>
      </c>
    </row>
    <row r="797" spans="1:12" x14ac:dyDescent="0.3">
      <c r="A797" t="s">
        <v>1181</v>
      </c>
      <c r="B797" t="s">
        <v>707</v>
      </c>
      <c r="C797" t="s">
        <v>63</v>
      </c>
      <c r="D797" t="s">
        <v>23</v>
      </c>
      <c r="E797" t="s">
        <v>82</v>
      </c>
      <c r="F797" t="s">
        <v>25</v>
      </c>
      <c r="G797" t="s">
        <v>57</v>
      </c>
      <c r="H797" t="s">
        <v>58</v>
      </c>
      <c r="I797">
        <v>46075</v>
      </c>
      <c r="J797">
        <v>8</v>
      </c>
      <c r="K797" t="s">
        <v>49</v>
      </c>
      <c r="L797">
        <v>11530.59</v>
      </c>
    </row>
    <row r="798" spans="1:12" x14ac:dyDescent="0.3">
      <c r="A798" t="s">
        <v>1182</v>
      </c>
      <c r="B798" t="s">
        <v>719</v>
      </c>
      <c r="C798" t="s">
        <v>121</v>
      </c>
      <c r="D798" t="s">
        <v>38</v>
      </c>
      <c r="E798" t="s">
        <v>39</v>
      </c>
      <c r="F798" t="s">
        <v>17</v>
      </c>
      <c r="G798" t="s">
        <v>76</v>
      </c>
      <c r="H798" t="s">
        <v>77</v>
      </c>
      <c r="I798">
        <v>49879</v>
      </c>
      <c r="J798">
        <v>1</v>
      </c>
      <c r="K798" t="s">
        <v>53</v>
      </c>
      <c r="L798">
        <v>9434.5300000000007</v>
      </c>
    </row>
    <row r="799" spans="1:12" x14ac:dyDescent="0.3">
      <c r="A799" t="s">
        <v>1183</v>
      </c>
      <c r="B799" t="s">
        <v>918</v>
      </c>
      <c r="C799" t="s">
        <v>72</v>
      </c>
      <c r="D799" t="s">
        <v>23</v>
      </c>
      <c r="E799" t="s">
        <v>24</v>
      </c>
      <c r="F799" t="s">
        <v>17</v>
      </c>
      <c r="G799" t="s">
        <v>104</v>
      </c>
      <c r="H799" t="s">
        <v>105</v>
      </c>
      <c r="I799">
        <v>13826</v>
      </c>
      <c r="J799">
        <v>1</v>
      </c>
      <c r="K799" t="s">
        <v>20</v>
      </c>
      <c r="L799">
        <v>3746.05</v>
      </c>
    </row>
    <row r="800" spans="1:12" x14ac:dyDescent="0.3">
      <c r="A800" t="s">
        <v>1184</v>
      </c>
      <c r="B800" t="s">
        <v>198</v>
      </c>
      <c r="C800" t="s">
        <v>66</v>
      </c>
      <c r="D800" t="s">
        <v>15</v>
      </c>
      <c r="E800" t="s">
        <v>154</v>
      </c>
      <c r="F800" t="s">
        <v>46</v>
      </c>
      <c r="G800" t="s">
        <v>47</v>
      </c>
      <c r="H800" t="s">
        <v>48</v>
      </c>
      <c r="I800">
        <v>11741</v>
      </c>
      <c r="J800">
        <v>1</v>
      </c>
      <c r="K800" t="s">
        <v>28</v>
      </c>
      <c r="L800">
        <v>2536.8200000000002</v>
      </c>
    </row>
    <row r="801" spans="1:12" x14ac:dyDescent="0.3">
      <c r="A801" t="s">
        <v>1185</v>
      </c>
      <c r="B801" t="s">
        <v>1186</v>
      </c>
      <c r="C801" t="s">
        <v>63</v>
      </c>
      <c r="D801" t="s">
        <v>38</v>
      </c>
      <c r="E801" t="s">
        <v>39</v>
      </c>
      <c r="F801" t="s">
        <v>17</v>
      </c>
      <c r="G801" t="s">
        <v>104</v>
      </c>
      <c r="H801" t="s">
        <v>105</v>
      </c>
      <c r="I801">
        <v>37310</v>
      </c>
      <c r="J801">
        <v>8</v>
      </c>
      <c r="K801" t="s">
        <v>49</v>
      </c>
      <c r="L801">
        <v>4818.2299999999996</v>
      </c>
    </row>
    <row r="802" spans="1:12" x14ac:dyDescent="0.3">
      <c r="A802" t="s">
        <v>1187</v>
      </c>
      <c r="B802" t="s">
        <v>433</v>
      </c>
      <c r="C802" t="s">
        <v>14</v>
      </c>
      <c r="D802" t="s">
        <v>15</v>
      </c>
      <c r="E802" t="s">
        <v>16</v>
      </c>
      <c r="F802" t="s">
        <v>17</v>
      </c>
      <c r="G802" t="s">
        <v>76</v>
      </c>
      <c r="H802" t="s">
        <v>77</v>
      </c>
      <c r="I802">
        <v>31953</v>
      </c>
      <c r="J802">
        <v>7</v>
      </c>
      <c r="K802" t="s">
        <v>49</v>
      </c>
      <c r="L802">
        <v>2443.0700000000002</v>
      </c>
    </row>
    <row r="803" spans="1:12" x14ac:dyDescent="0.3">
      <c r="A803" t="s">
        <v>1188</v>
      </c>
      <c r="B803" t="s">
        <v>485</v>
      </c>
      <c r="C803" t="s">
        <v>31</v>
      </c>
      <c r="D803" t="s">
        <v>32</v>
      </c>
      <c r="E803" t="s">
        <v>45</v>
      </c>
      <c r="F803" t="s">
        <v>25</v>
      </c>
      <c r="G803" t="s">
        <v>57</v>
      </c>
      <c r="H803" t="s">
        <v>58</v>
      </c>
      <c r="I803">
        <v>74365</v>
      </c>
      <c r="J803">
        <v>2</v>
      </c>
      <c r="K803" t="s">
        <v>53</v>
      </c>
      <c r="L803">
        <v>16360.46</v>
      </c>
    </row>
    <row r="804" spans="1:12" x14ac:dyDescent="0.3">
      <c r="A804" t="s">
        <v>1189</v>
      </c>
      <c r="B804" t="s">
        <v>236</v>
      </c>
      <c r="C804" t="s">
        <v>72</v>
      </c>
      <c r="D804" t="s">
        <v>23</v>
      </c>
      <c r="E804" t="s">
        <v>82</v>
      </c>
      <c r="F804" t="s">
        <v>25</v>
      </c>
      <c r="G804" t="s">
        <v>26</v>
      </c>
      <c r="H804" t="s">
        <v>27</v>
      </c>
      <c r="I804">
        <v>11685</v>
      </c>
      <c r="J804">
        <v>1</v>
      </c>
      <c r="K804" t="s">
        <v>34</v>
      </c>
      <c r="L804">
        <v>1483</v>
      </c>
    </row>
    <row r="805" spans="1:12" x14ac:dyDescent="0.3">
      <c r="A805" t="s">
        <v>1190</v>
      </c>
      <c r="B805" t="s">
        <v>863</v>
      </c>
      <c r="C805" t="s">
        <v>91</v>
      </c>
      <c r="D805" t="s">
        <v>23</v>
      </c>
      <c r="E805" t="s">
        <v>82</v>
      </c>
      <c r="F805" t="s">
        <v>17</v>
      </c>
      <c r="G805" t="s">
        <v>76</v>
      </c>
      <c r="H805" t="s">
        <v>77</v>
      </c>
      <c r="I805">
        <v>1260</v>
      </c>
      <c r="J805">
        <v>9</v>
      </c>
      <c r="K805" t="s">
        <v>49</v>
      </c>
      <c r="L805">
        <v>188.08</v>
      </c>
    </row>
    <row r="806" spans="1:12" x14ac:dyDescent="0.3">
      <c r="A806" t="s">
        <v>1191</v>
      </c>
      <c r="B806" t="s">
        <v>200</v>
      </c>
      <c r="C806" t="s">
        <v>66</v>
      </c>
      <c r="D806" t="s">
        <v>23</v>
      </c>
      <c r="E806" t="s">
        <v>82</v>
      </c>
      <c r="F806" t="s">
        <v>17</v>
      </c>
      <c r="G806" t="s">
        <v>76</v>
      </c>
      <c r="H806" t="s">
        <v>77</v>
      </c>
      <c r="I806">
        <v>30119</v>
      </c>
      <c r="J806">
        <v>10</v>
      </c>
      <c r="K806" t="s">
        <v>20</v>
      </c>
      <c r="L806">
        <v>4524.5600000000004</v>
      </c>
    </row>
    <row r="807" spans="1:12" x14ac:dyDescent="0.3">
      <c r="A807" t="s">
        <v>1192</v>
      </c>
      <c r="B807" t="s">
        <v>240</v>
      </c>
      <c r="C807" t="s">
        <v>56</v>
      </c>
      <c r="D807" t="s">
        <v>23</v>
      </c>
      <c r="E807" t="s">
        <v>82</v>
      </c>
      <c r="F807" t="s">
        <v>25</v>
      </c>
      <c r="G807" t="s">
        <v>57</v>
      </c>
      <c r="H807" t="s">
        <v>58</v>
      </c>
      <c r="I807">
        <v>26179</v>
      </c>
      <c r="J807">
        <v>5</v>
      </c>
      <c r="K807" t="s">
        <v>20</v>
      </c>
      <c r="L807">
        <v>2118.11</v>
      </c>
    </row>
    <row r="808" spans="1:12" x14ac:dyDescent="0.3">
      <c r="A808" t="s">
        <v>1193</v>
      </c>
      <c r="B808" t="s">
        <v>606</v>
      </c>
      <c r="C808" t="s">
        <v>72</v>
      </c>
      <c r="D808" t="s">
        <v>23</v>
      </c>
      <c r="E808" t="s">
        <v>129</v>
      </c>
      <c r="F808" t="s">
        <v>46</v>
      </c>
      <c r="G808" t="s">
        <v>87</v>
      </c>
      <c r="H808" t="s">
        <v>88</v>
      </c>
      <c r="I808">
        <v>22203</v>
      </c>
      <c r="J808">
        <v>3</v>
      </c>
      <c r="K808" t="s">
        <v>28</v>
      </c>
      <c r="L808">
        <v>3859.63</v>
      </c>
    </row>
    <row r="809" spans="1:12" x14ac:dyDescent="0.3">
      <c r="A809" t="s">
        <v>1194</v>
      </c>
      <c r="B809" t="s">
        <v>348</v>
      </c>
      <c r="C809" t="s">
        <v>56</v>
      </c>
      <c r="D809" t="s">
        <v>23</v>
      </c>
      <c r="E809" t="s">
        <v>24</v>
      </c>
      <c r="F809" t="s">
        <v>25</v>
      </c>
      <c r="G809" t="s">
        <v>57</v>
      </c>
      <c r="H809" t="s">
        <v>58</v>
      </c>
      <c r="I809">
        <v>46694</v>
      </c>
      <c r="J809">
        <v>5</v>
      </c>
      <c r="K809" t="s">
        <v>34</v>
      </c>
      <c r="L809">
        <v>3653.7</v>
      </c>
    </row>
    <row r="810" spans="1:12" x14ac:dyDescent="0.3">
      <c r="A810" t="s">
        <v>1195</v>
      </c>
      <c r="B810" t="s">
        <v>234</v>
      </c>
      <c r="C810" t="s">
        <v>44</v>
      </c>
      <c r="D810" t="s">
        <v>32</v>
      </c>
      <c r="E810" t="s">
        <v>45</v>
      </c>
      <c r="F810" t="s">
        <v>46</v>
      </c>
      <c r="G810" t="s">
        <v>94</v>
      </c>
      <c r="H810" t="s">
        <v>95</v>
      </c>
      <c r="I810">
        <v>16187</v>
      </c>
      <c r="J810">
        <v>3</v>
      </c>
      <c r="K810" t="s">
        <v>34</v>
      </c>
      <c r="L810">
        <v>3204.12</v>
      </c>
    </row>
    <row r="811" spans="1:12" x14ac:dyDescent="0.3">
      <c r="A811" t="s">
        <v>1196</v>
      </c>
      <c r="B811" t="s">
        <v>904</v>
      </c>
      <c r="C811" t="s">
        <v>66</v>
      </c>
      <c r="D811" t="s">
        <v>38</v>
      </c>
      <c r="E811" t="s">
        <v>39</v>
      </c>
      <c r="F811" t="s">
        <v>17</v>
      </c>
      <c r="G811" t="s">
        <v>18</v>
      </c>
      <c r="H811" t="s">
        <v>19</v>
      </c>
      <c r="I811">
        <v>69478</v>
      </c>
      <c r="J811">
        <v>3</v>
      </c>
      <c r="K811" t="s">
        <v>34</v>
      </c>
      <c r="L811">
        <v>13657.02</v>
      </c>
    </row>
    <row r="812" spans="1:12" x14ac:dyDescent="0.3">
      <c r="A812" t="s">
        <v>1197</v>
      </c>
      <c r="B812" t="s">
        <v>988</v>
      </c>
      <c r="C812" t="s">
        <v>44</v>
      </c>
      <c r="D812" t="s">
        <v>23</v>
      </c>
      <c r="E812" t="s">
        <v>24</v>
      </c>
      <c r="F812" t="s">
        <v>17</v>
      </c>
      <c r="G812" t="s">
        <v>76</v>
      </c>
      <c r="H812" t="s">
        <v>77</v>
      </c>
      <c r="I812">
        <v>2676</v>
      </c>
      <c r="J812">
        <v>3</v>
      </c>
      <c r="K812" t="s">
        <v>49</v>
      </c>
      <c r="L812">
        <v>650.87</v>
      </c>
    </row>
    <row r="813" spans="1:12" x14ac:dyDescent="0.3">
      <c r="A813" t="s">
        <v>1198</v>
      </c>
      <c r="B813" t="s">
        <v>1199</v>
      </c>
      <c r="C813" t="s">
        <v>72</v>
      </c>
      <c r="D813" t="s">
        <v>23</v>
      </c>
      <c r="E813" t="s">
        <v>129</v>
      </c>
      <c r="F813" t="s">
        <v>46</v>
      </c>
      <c r="G813" t="s">
        <v>94</v>
      </c>
      <c r="H813" t="s">
        <v>95</v>
      </c>
      <c r="I813">
        <v>70315</v>
      </c>
      <c r="J813">
        <v>2</v>
      </c>
      <c r="K813" t="s">
        <v>53</v>
      </c>
      <c r="L813">
        <v>9014.2999999999993</v>
      </c>
    </row>
    <row r="814" spans="1:12" x14ac:dyDescent="0.3">
      <c r="A814" t="s">
        <v>1200</v>
      </c>
      <c r="B814" t="s">
        <v>1053</v>
      </c>
      <c r="C814" t="s">
        <v>56</v>
      </c>
      <c r="D814" t="s">
        <v>15</v>
      </c>
      <c r="E814" t="s">
        <v>73</v>
      </c>
      <c r="F814" t="s">
        <v>17</v>
      </c>
      <c r="G814" t="s">
        <v>76</v>
      </c>
      <c r="H814" t="s">
        <v>77</v>
      </c>
      <c r="I814">
        <v>68248</v>
      </c>
      <c r="J814">
        <v>8</v>
      </c>
      <c r="K814" t="s">
        <v>20</v>
      </c>
      <c r="L814">
        <v>7367.18</v>
      </c>
    </row>
    <row r="815" spans="1:12" x14ac:dyDescent="0.3">
      <c r="A815" t="s">
        <v>1201</v>
      </c>
      <c r="B815" t="s">
        <v>312</v>
      </c>
      <c r="C815" t="s">
        <v>14</v>
      </c>
      <c r="D815" t="s">
        <v>32</v>
      </c>
      <c r="E815" t="s">
        <v>116</v>
      </c>
      <c r="F815" t="s">
        <v>25</v>
      </c>
      <c r="G815" t="s">
        <v>40</v>
      </c>
      <c r="H815" t="s">
        <v>41</v>
      </c>
      <c r="I815">
        <v>25293</v>
      </c>
      <c r="J815">
        <v>10</v>
      </c>
      <c r="K815" t="s">
        <v>34</v>
      </c>
      <c r="L815">
        <v>3142.67</v>
      </c>
    </row>
    <row r="816" spans="1:12" x14ac:dyDescent="0.3">
      <c r="A816" t="s">
        <v>1202</v>
      </c>
      <c r="B816" t="s">
        <v>430</v>
      </c>
      <c r="C816" t="s">
        <v>31</v>
      </c>
      <c r="D816" t="s">
        <v>23</v>
      </c>
      <c r="E816" t="s">
        <v>24</v>
      </c>
      <c r="F816" t="s">
        <v>46</v>
      </c>
      <c r="G816" t="s">
        <v>47</v>
      </c>
      <c r="H816" t="s">
        <v>48</v>
      </c>
      <c r="I816">
        <v>14855</v>
      </c>
      <c r="J816">
        <v>9</v>
      </c>
      <c r="K816" t="s">
        <v>28</v>
      </c>
      <c r="L816">
        <v>2580.7600000000002</v>
      </c>
    </row>
    <row r="817" spans="1:12" x14ac:dyDescent="0.3">
      <c r="A817" t="s">
        <v>1203</v>
      </c>
      <c r="B817" t="s">
        <v>345</v>
      </c>
      <c r="C817" t="s">
        <v>72</v>
      </c>
      <c r="D817" t="s">
        <v>15</v>
      </c>
      <c r="E817" t="s">
        <v>154</v>
      </c>
      <c r="F817" t="s">
        <v>17</v>
      </c>
      <c r="G817" t="s">
        <v>18</v>
      </c>
      <c r="H817" t="s">
        <v>19</v>
      </c>
      <c r="I817">
        <v>25611</v>
      </c>
      <c r="J817">
        <v>5</v>
      </c>
      <c r="K817" t="s">
        <v>49</v>
      </c>
      <c r="L817">
        <v>6866.19</v>
      </c>
    </row>
    <row r="818" spans="1:12" x14ac:dyDescent="0.3">
      <c r="A818" t="s">
        <v>1204</v>
      </c>
      <c r="B818" t="s">
        <v>867</v>
      </c>
      <c r="C818" t="s">
        <v>121</v>
      </c>
      <c r="D818" t="s">
        <v>15</v>
      </c>
      <c r="E818" t="s">
        <v>154</v>
      </c>
      <c r="F818" t="s">
        <v>25</v>
      </c>
      <c r="G818" t="s">
        <v>40</v>
      </c>
      <c r="H818" t="s">
        <v>41</v>
      </c>
      <c r="I818">
        <v>62338</v>
      </c>
      <c r="J818">
        <v>5</v>
      </c>
      <c r="K818" t="s">
        <v>53</v>
      </c>
      <c r="L818">
        <v>15523.67</v>
      </c>
    </row>
    <row r="819" spans="1:12" x14ac:dyDescent="0.3">
      <c r="A819" t="s">
        <v>1205</v>
      </c>
      <c r="B819" t="s">
        <v>212</v>
      </c>
      <c r="C819" t="s">
        <v>37</v>
      </c>
      <c r="D819" t="s">
        <v>32</v>
      </c>
      <c r="E819" t="s">
        <v>45</v>
      </c>
      <c r="F819" t="s">
        <v>25</v>
      </c>
      <c r="G819" t="s">
        <v>57</v>
      </c>
      <c r="H819" t="s">
        <v>58</v>
      </c>
      <c r="I819">
        <v>49373</v>
      </c>
      <c r="J819">
        <v>9</v>
      </c>
      <c r="K819" t="s">
        <v>28</v>
      </c>
      <c r="L819">
        <v>12552.67</v>
      </c>
    </row>
    <row r="820" spans="1:12" x14ac:dyDescent="0.3">
      <c r="A820" t="s">
        <v>1206</v>
      </c>
      <c r="B820" t="s">
        <v>1032</v>
      </c>
      <c r="C820" t="s">
        <v>44</v>
      </c>
      <c r="D820" t="s">
        <v>15</v>
      </c>
      <c r="E820" t="s">
        <v>73</v>
      </c>
      <c r="F820" t="s">
        <v>46</v>
      </c>
      <c r="G820" t="s">
        <v>87</v>
      </c>
      <c r="H820" t="s">
        <v>88</v>
      </c>
      <c r="I820">
        <v>1425</v>
      </c>
      <c r="J820">
        <v>1</v>
      </c>
      <c r="K820" t="s">
        <v>20</v>
      </c>
      <c r="L820">
        <v>253.63</v>
      </c>
    </row>
    <row r="821" spans="1:12" x14ac:dyDescent="0.3">
      <c r="A821" t="s">
        <v>1207</v>
      </c>
      <c r="B821" t="s">
        <v>99</v>
      </c>
      <c r="C821" t="s">
        <v>14</v>
      </c>
      <c r="D821" t="s">
        <v>23</v>
      </c>
      <c r="E821" t="s">
        <v>82</v>
      </c>
      <c r="F821" t="s">
        <v>17</v>
      </c>
      <c r="G821" t="s">
        <v>104</v>
      </c>
      <c r="H821" t="s">
        <v>105</v>
      </c>
      <c r="I821">
        <v>18208</v>
      </c>
      <c r="J821">
        <v>5</v>
      </c>
      <c r="K821" t="s">
        <v>28</v>
      </c>
      <c r="L821">
        <v>2408.5700000000002</v>
      </c>
    </row>
    <row r="822" spans="1:12" x14ac:dyDescent="0.3">
      <c r="A822" t="s">
        <v>1208</v>
      </c>
      <c r="B822" t="s">
        <v>512</v>
      </c>
      <c r="C822" t="s">
        <v>14</v>
      </c>
      <c r="D822" t="s">
        <v>15</v>
      </c>
      <c r="E822" t="s">
        <v>73</v>
      </c>
      <c r="F822" t="s">
        <v>25</v>
      </c>
      <c r="G822" t="s">
        <v>40</v>
      </c>
      <c r="H822" t="s">
        <v>41</v>
      </c>
      <c r="I822">
        <v>18254</v>
      </c>
      <c r="J822">
        <v>5</v>
      </c>
      <c r="K822" t="s">
        <v>28</v>
      </c>
      <c r="L822">
        <v>2175.0700000000002</v>
      </c>
    </row>
    <row r="823" spans="1:12" x14ac:dyDescent="0.3">
      <c r="A823" t="s">
        <v>1209</v>
      </c>
      <c r="B823" t="s">
        <v>1210</v>
      </c>
      <c r="C823" t="s">
        <v>37</v>
      </c>
      <c r="D823" t="s">
        <v>15</v>
      </c>
      <c r="E823" t="s">
        <v>73</v>
      </c>
      <c r="F823" t="s">
        <v>17</v>
      </c>
      <c r="G823" t="s">
        <v>104</v>
      </c>
      <c r="H823" t="s">
        <v>105</v>
      </c>
      <c r="I823">
        <v>50474</v>
      </c>
      <c r="J823">
        <v>7</v>
      </c>
      <c r="K823" t="s">
        <v>49</v>
      </c>
      <c r="L823">
        <v>8628.31</v>
      </c>
    </row>
    <row r="824" spans="1:12" x14ac:dyDescent="0.3">
      <c r="A824" t="s">
        <v>1211</v>
      </c>
      <c r="B824" t="s">
        <v>365</v>
      </c>
      <c r="C824" t="s">
        <v>91</v>
      </c>
      <c r="D824" t="s">
        <v>23</v>
      </c>
      <c r="E824" t="s">
        <v>129</v>
      </c>
      <c r="F824" t="s">
        <v>17</v>
      </c>
      <c r="G824" t="s">
        <v>76</v>
      </c>
      <c r="H824" t="s">
        <v>77</v>
      </c>
      <c r="I824">
        <v>18647</v>
      </c>
      <c r="J824">
        <v>9</v>
      </c>
      <c r="K824" t="s">
        <v>20</v>
      </c>
      <c r="L824">
        <v>2476</v>
      </c>
    </row>
    <row r="825" spans="1:12" x14ac:dyDescent="0.3">
      <c r="A825" t="s">
        <v>1212</v>
      </c>
      <c r="B825" t="s">
        <v>332</v>
      </c>
      <c r="C825" t="s">
        <v>31</v>
      </c>
      <c r="D825" t="s">
        <v>23</v>
      </c>
      <c r="E825" t="s">
        <v>82</v>
      </c>
      <c r="F825" t="s">
        <v>17</v>
      </c>
      <c r="G825" t="s">
        <v>104</v>
      </c>
      <c r="H825" t="s">
        <v>105</v>
      </c>
      <c r="I825">
        <v>66431</v>
      </c>
      <c r="J825">
        <v>10</v>
      </c>
      <c r="K825" t="s">
        <v>53</v>
      </c>
      <c r="L825">
        <v>15315.42</v>
      </c>
    </row>
    <row r="826" spans="1:12" x14ac:dyDescent="0.3">
      <c r="A826" t="s">
        <v>1213</v>
      </c>
      <c r="B826" t="s">
        <v>143</v>
      </c>
      <c r="C826" t="s">
        <v>44</v>
      </c>
      <c r="D826" t="s">
        <v>32</v>
      </c>
      <c r="E826" t="s">
        <v>45</v>
      </c>
      <c r="F826" t="s">
        <v>17</v>
      </c>
      <c r="G826" t="s">
        <v>18</v>
      </c>
      <c r="H826" t="s">
        <v>19</v>
      </c>
      <c r="I826">
        <v>79339</v>
      </c>
      <c r="J826">
        <v>9</v>
      </c>
      <c r="K826" t="s">
        <v>34</v>
      </c>
      <c r="L826">
        <v>14901.35</v>
      </c>
    </row>
    <row r="827" spans="1:12" x14ac:dyDescent="0.3">
      <c r="A827" t="s">
        <v>1214</v>
      </c>
      <c r="B827" t="s">
        <v>559</v>
      </c>
      <c r="C827" t="s">
        <v>66</v>
      </c>
      <c r="D827" t="s">
        <v>32</v>
      </c>
      <c r="E827" t="s">
        <v>116</v>
      </c>
      <c r="F827" t="s">
        <v>46</v>
      </c>
      <c r="G827" t="s">
        <v>47</v>
      </c>
      <c r="H827" t="s">
        <v>48</v>
      </c>
      <c r="I827">
        <v>52217</v>
      </c>
      <c r="J827">
        <v>5</v>
      </c>
      <c r="K827" t="s">
        <v>20</v>
      </c>
      <c r="L827">
        <v>14588.11</v>
      </c>
    </row>
    <row r="828" spans="1:12" x14ac:dyDescent="0.3">
      <c r="A828" t="s">
        <v>1215</v>
      </c>
      <c r="B828" t="s">
        <v>480</v>
      </c>
      <c r="C828" t="s">
        <v>91</v>
      </c>
      <c r="D828" t="s">
        <v>15</v>
      </c>
      <c r="E828" t="s">
        <v>154</v>
      </c>
      <c r="F828" t="s">
        <v>25</v>
      </c>
      <c r="G828" t="s">
        <v>26</v>
      </c>
      <c r="H828" t="s">
        <v>27</v>
      </c>
      <c r="I828">
        <v>20865</v>
      </c>
      <c r="J828">
        <v>4</v>
      </c>
      <c r="K828" t="s">
        <v>28</v>
      </c>
      <c r="L828">
        <v>3219.92</v>
      </c>
    </row>
    <row r="829" spans="1:12" x14ac:dyDescent="0.3">
      <c r="A829" t="s">
        <v>1216</v>
      </c>
      <c r="B829" t="s">
        <v>220</v>
      </c>
      <c r="C829" t="s">
        <v>91</v>
      </c>
      <c r="D829" t="s">
        <v>32</v>
      </c>
      <c r="E829" t="s">
        <v>33</v>
      </c>
      <c r="F829" t="s">
        <v>17</v>
      </c>
      <c r="G829" t="s">
        <v>104</v>
      </c>
      <c r="H829" t="s">
        <v>105</v>
      </c>
      <c r="I829">
        <v>48265</v>
      </c>
      <c r="J829">
        <v>1</v>
      </c>
      <c r="K829" t="s">
        <v>20</v>
      </c>
      <c r="L829">
        <v>6890.96</v>
      </c>
    </row>
    <row r="830" spans="1:12" x14ac:dyDescent="0.3">
      <c r="A830" t="s">
        <v>1217</v>
      </c>
      <c r="B830" t="s">
        <v>963</v>
      </c>
      <c r="C830" t="s">
        <v>44</v>
      </c>
      <c r="D830" t="s">
        <v>23</v>
      </c>
      <c r="E830" t="s">
        <v>24</v>
      </c>
      <c r="F830" t="s">
        <v>17</v>
      </c>
      <c r="G830" t="s">
        <v>104</v>
      </c>
      <c r="H830" t="s">
        <v>105</v>
      </c>
      <c r="I830">
        <v>49739</v>
      </c>
      <c r="J830">
        <v>10</v>
      </c>
      <c r="K830" t="s">
        <v>49</v>
      </c>
      <c r="L830">
        <v>11011.23</v>
      </c>
    </row>
    <row r="831" spans="1:12" x14ac:dyDescent="0.3">
      <c r="A831" t="s">
        <v>1218</v>
      </c>
      <c r="B831" t="s">
        <v>356</v>
      </c>
      <c r="C831" t="s">
        <v>44</v>
      </c>
      <c r="D831" t="s">
        <v>38</v>
      </c>
      <c r="E831" t="s">
        <v>67</v>
      </c>
      <c r="F831" t="s">
        <v>17</v>
      </c>
      <c r="G831" t="s">
        <v>18</v>
      </c>
      <c r="H831" t="s">
        <v>19</v>
      </c>
      <c r="I831">
        <v>40594</v>
      </c>
      <c r="J831">
        <v>3</v>
      </c>
      <c r="K831" t="s">
        <v>28</v>
      </c>
      <c r="L831">
        <v>10657.6</v>
      </c>
    </row>
    <row r="832" spans="1:12" x14ac:dyDescent="0.3">
      <c r="A832" t="s">
        <v>1219</v>
      </c>
      <c r="B832" t="s">
        <v>485</v>
      </c>
      <c r="C832" t="s">
        <v>121</v>
      </c>
      <c r="D832" t="s">
        <v>32</v>
      </c>
      <c r="E832" t="s">
        <v>45</v>
      </c>
      <c r="F832" t="s">
        <v>46</v>
      </c>
      <c r="G832" t="s">
        <v>87</v>
      </c>
      <c r="H832" t="s">
        <v>88</v>
      </c>
      <c r="I832">
        <v>12978</v>
      </c>
      <c r="J832">
        <v>7</v>
      </c>
      <c r="K832" t="s">
        <v>53</v>
      </c>
      <c r="L832">
        <v>3119.05</v>
      </c>
    </row>
    <row r="833" spans="1:12" x14ac:dyDescent="0.3">
      <c r="A833" t="s">
        <v>1220</v>
      </c>
      <c r="B833" t="s">
        <v>162</v>
      </c>
      <c r="C833" t="s">
        <v>91</v>
      </c>
      <c r="D833" t="s">
        <v>32</v>
      </c>
      <c r="E833" t="s">
        <v>33</v>
      </c>
      <c r="F833" t="s">
        <v>17</v>
      </c>
      <c r="G833" t="s">
        <v>76</v>
      </c>
      <c r="H833" t="s">
        <v>77</v>
      </c>
      <c r="I833">
        <v>44069</v>
      </c>
      <c r="J833">
        <v>7</v>
      </c>
      <c r="K833" t="s">
        <v>53</v>
      </c>
      <c r="L833">
        <v>4320.1099999999997</v>
      </c>
    </row>
    <row r="834" spans="1:12" x14ac:dyDescent="0.3">
      <c r="A834" t="s">
        <v>1221</v>
      </c>
      <c r="B834" t="s">
        <v>867</v>
      </c>
      <c r="C834" t="s">
        <v>72</v>
      </c>
      <c r="D834" t="s">
        <v>15</v>
      </c>
      <c r="E834" t="s">
        <v>16</v>
      </c>
      <c r="F834" t="s">
        <v>46</v>
      </c>
      <c r="G834" t="s">
        <v>94</v>
      </c>
      <c r="H834" t="s">
        <v>95</v>
      </c>
      <c r="I834">
        <v>3886</v>
      </c>
      <c r="J834">
        <v>4</v>
      </c>
      <c r="K834" t="s">
        <v>28</v>
      </c>
      <c r="L834">
        <v>447.43</v>
      </c>
    </row>
    <row r="835" spans="1:12" x14ac:dyDescent="0.3">
      <c r="A835" t="s">
        <v>1222</v>
      </c>
      <c r="B835" t="s">
        <v>379</v>
      </c>
      <c r="C835" t="s">
        <v>56</v>
      </c>
      <c r="D835" t="s">
        <v>23</v>
      </c>
      <c r="E835" t="s">
        <v>82</v>
      </c>
      <c r="F835" t="s">
        <v>25</v>
      </c>
      <c r="G835" t="s">
        <v>40</v>
      </c>
      <c r="H835" t="s">
        <v>41</v>
      </c>
      <c r="I835">
        <v>1448</v>
      </c>
      <c r="J835">
        <v>10</v>
      </c>
      <c r="K835" t="s">
        <v>49</v>
      </c>
      <c r="L835">
        <v>388.48</v>
      </c>
    </row>
    <row r="836" spans="1:12" x14ac:dyDescent="0.3">
      <c r="A836" t="s">
        <v>1223</v>
      </c>
      <c r="B836" t="s">
        <v>75</v>
      </c>
      <c r="C836" t="s">
        <v>56</v>
      </c>
      <c r="D836" t="s">
        <v>38</v>
      </c>
      <c r="E836" t="s">
        <v>67</v>
      </c>
      <c r="F836" t="s">
        <v>46</v>
      </c>
      <c r="G836" t="s">
        <v>87</v>
      </c>
      <c r="H836" t="s">
        <v>88</v>
      </c>
      <c r="I836">
        <v>24312</v>
      </c>
      <c r="J836">
        <v>7</v>
      </c>
      <c r="K836" t="s">
        <v>53</v>
      </c>
      <c r="L836">
        <v>2280.96</v>
      </c>
    </row>
    <row r="837" spans="1:12" x14ac:dyDescent="0.3">
      <c r="A837" t="s">
        <v>1224</v>
      </c>
      <c r="B837" t="s">
        <v>371</v>
      </c>
      <c r="C837" t="s">
        <v>72</v>
      </c>
      <c r="D837" t="s">
        <v>15</v>
      </c>
      <c r="E837" t="s">
        <v>73</v>
      </c>
      <c r="F837" t="s">
        <v>25</v>
      </c>
      <c r="G837" t="s">
        <v>26</v>
      </c>
      <c r="H837" t="s">
        <v>27</v>
      </c>
      <c r="I837">
        <v>46794</v>
      </c>
      <c r="J837">
        <v>8</v>
      </c>
      <c r="K837" t="s">
        <v>34</v>
      </c>
      <c r="L837">
        <v>5875.48</v>
      </c>
    </row>
    <row r="838" spans="1:12" x14ac:dyDescent="0.3">
      <c r="A838" t="s">
        <v>1225</v>
      </c>
      <c r="B838" t="s">
        <v>1083</v>
      </c>
      <c r="C838" t="s">
        <v>72</v>
      </c>
      <c r="D838" t="s">
        <v>15</v>
      </c>
      <c r="E838" t="s">
        <v>73</v>
      </c>
      <c r="F838" t="s">
        <v>46</v>
      </c>
      <c r="G838" t="s">
        <v>47</v>
      </c>
      <c r="H838" t="s">
        <v>48</v>
      </c>
      <c r="I838">
        <v>77388</v>
      </c>
      <c r="J838">
        <v>5</v>
      </c>
      <c r="K838" t="s">
        <v>28</v>
      </c>
      <c r="L838">
        <v>11489.52</v>
      </c>
    </row>
    <row r="839" spans="1:12" x14ac:dyDescent="0.3">
      <c r="A839" t="s">
        <v>1226</v>
      </c>
      <c r="B839" t="s">
        <v>79</v>
      </c>
      <c r="C839" t="s">
        <v>56</v>
      </c>
      <c r="D839" t="s">
        <v>32</v>
      </c>
      <c r="E839" t="s">
        <v>116</v>
      </c>
      <c r="F839" t="s">
        <v>25</v>
      </c>
      <c r="G839" t="s">
        <v>40</v>
      </c>
      <c r="H839" t="s">
        <v>41</v>
      </c>
      <c r="I839">
        <v>76275</v>
      </c>
      <c r="J839">
        <v>1</v>
      </c>
      <c r="K839" t="s">
        <v>53</v>
      </c>
      <c r="L839">
        <v>11798.22</v>
      </c>
    </row>
    <row r="840" spans="1:12" x14ac:dyDescent="0.3">
      <c r="A840" t="s">
        <v>1227</v>
      </c>
      <c r="B840" t="s">
        <v>338</v>
      </c>
      <c r="C840" t="s">
        <v>44</v>
      </c>
      <c r="D840" t="s">
        <v>23</v>
      </c>
      <c r="E840" t="s">
        <v>82</v>
      </c>
      <c r="F840" t="s">
        <v>25</v>
      </c>
      <c r="G840" t="s">
        <v>40</v>
      </c>
      <c r="H840" t="s">
        <v>41</v>
      </c>
      <c r="I840">
        <v>64533</v>
      </c>
      <c r="J840">
        <v>8</v>
      </c>
      <c r="K840" t="s">
        <v>34</v>
      </c>
      <c r="L840">
        <v>13576.95</v>
      </c>
    </row>
    <row r="841" spans="1:12" x14ac:dyDescent="0.3">
      <c r="A841" t="s">
        <v>1228</v>
      </c>
      <c r="B841" t="s">
        <v>1229</v>
      </c>
      <c r="C841" t="s">
        <v>121</v>
      </c>
      <c r="D841" t="s">
        <v>23</v>
      </c>
      <c r="E841" t="s">
        <v>24</v>
      </c>
      <c r="F841" t="s">
        <v>25</v>
      </c>
      <c r="G841" t="s">
        <v>40</v>
      </c>
      <c r="H841" t="s">
        <v>41</v>
      </c>
      <c r="I841">
        <v>21764</v>
      </c>
      <c r="J841">
        <v>5</v>
      </c>
      <c r="K841" t="s">
        <v>20</v>
      </c>
      <c r="L841">
        <v>3209.39</v>
      </c>
    </row>
    <row r="842" spans="1:12" x14ac:dyDescent="0.3">
      <c r="A842" t="s">
        <v>1230</v>
      </c>
      <c r="B842" t="s">
        <v>215</v>
      </c>
      <c r="C842" t="s">
        <v>56</v>
      </c>
      <c r="D842" t="s">
        <v>38</v>
      </c>
      <c r="E842" t="s">
        <v>39</v>
      </c>
      <c r="F842" t="s">
        <v>17</v>
      </c>
      <c r="G842" t="s">
        <v>104</v>
      </c>
      <c r="H842" t="s">
        <v>105</v>
      </c>
      <c r="I842">
        <v>24046</v>
      </c>
      <c r="J842">
        <v>1</v>
      </c>
      <c r="K842" t="s">
        <v>28</v>
      </c>
      <c r="L842">
        <v>4992.67</v>
      </c>
    </row>
    <row r="843" spans="1:12" x14ac:dyDescent="0.3">
      <c r="A843" t="s">
        <v>1231</v>
      </c>
      <c r="B843" t="s">
        <v>430</v>
      </c>
      <c r="C843" t="s">
        <v>66</v>
      </c>
      <c r="D843" t="s">
        <v>32</v>
      </c>
      <c r="E843" t="s">
        <v>116</v>
      </c>
      <c r="F843" t="s">
        <v>46</v>
      </c>
      <c r="G843" t="s">
        <v>47</v>
      </c>
      <c r="H843" t="s">
        <v>48</v>
      </c>
      <c r="I843">
        <v>2221</v>
      </c>
      <c r="J843">
        <v>7</v>
      </c>
      <c r="K843" t="s">
        <v>49</v>
      </c>
      <c r="L843">
        <v>556.58000000000004</v>
      </c>
    </row>
    <row r="844" spans="1:12" x14ac:dyDescent="0.3">
      <c r="A844" t="s">
        <v>1232</v>
      </c>
      <c r="B844" t="s">
        <v>153</v>
      </c>
      <c r="C844" t="s">
        <v>121</v>
      </c>
      <c r="D844" t="s">
        <v>15</v>
      </c>
      <c r="E844" t="s">
        <v>16</v>
      </c>
      <c r="F844" t="s">
        <v>25</v>
      </c>
      <c r="G844" t="s">
        <v>40</v>
      </c>
      <c r="H844" t="s">
        <v>41</v>
      </c>
      <c r="I844">
        <v>13943</v>
      </c>
      <c r="J844">
        <v>9</v>
      </c>
      <c r="K844" t="s">
        <v>28</v>
      </c>
      <c r="L844">
        <v>3576.65</v>
      </c>
    </row>
    <row r="845" spans="1:12" x14ac:dyDescent="0.3">
      <c r="A845" t="s">
        <v>1233</v>
      </c>
      <c r="B845" t="s">
        <v>292</v>
      </c>
      <c r="C845" t="s">
        <v>121</v>
      </c>
      <c r="D845" t="s">
        <v>32</v>
      </c>
      <c r="E845" t="s">
        <v>116</v>
      </c>
      <c r="F845" t="s">
        <v>25</v>
      </c>
      <c r="G845" t="s">
        <v>40</v>
      </c>
      <c r="H845" t="s">
        <v>41</v>
      </c>
      <c r="I845">
        <v>38348</v>
      </c>
      <c r="J845">
        <v>6</v>
      </c>
      <c r="K845" t="s">
        <v>20</v>
      </c>
      <c r="L845">
        <v>4919.28</v>
      </c>
    </row>
    <row r="846" spans="1:12" x14ac:dyDescent="0.3">
      <c r="A846" t="s">
        <v>1234</v>
      </c>
      <c r="B846" t="s">
        <v>149</v>
      </c>
      <c r="C846" t="s">
        <v>91</v>
      </c>
      <c r="D846" t="s">
        <v>15</v>
      </c>
      <c r="E846" t="s">
        <v>73</v>
      </c>
      <c r="F846" t="s">
        <v>46</v>
      </c>
      <c r="G846" t="s">
        <v>87</v>
      </c>
      <c r="H846" t="s">
        <v>88</v>
      </c>
      <c r="I846">
        <v>53317</v>
      </c>
      <c r="J846">
        <v>2</v>
      </c>
      <c r="K846" t="s">
        <v>34</v>
      </c>
      <c r="L846">
        <v>9501.93</v>
      </c>
    </row>
    <row r="847" spans="1:12" x14ac:dyDescent="0.3">
      <c r="A847" t="s">
        <v>1235</v>
      </c>
      <c r="B847" t="s">
        <v>135</v>
      </c>
      <c r="C847" t="s">
        <v>56</v>
      </c>
      <c r="D847" t="s">
        <v>38</v>
      </c>
      <c r="E847" t="s">
        <v>39</v>
      </c>
      <c r="F847" t="s">
        <v>25</v>
      </c>
      <c r="G847" t="s">
        <v>57</v>
      </c>
      <c r="H847" t="s">
        <v>58</v>
      </c>
      <c r="I847">
        <v>60924</v>
      </c>
      <c r="J847">
        <v>3</v>
      </c>
      <c r="K847" t="s">
        <v>28</v>
      </c>
      <c r="L847">
        <v>9780.1200000000008</v>
      </c>
    </row>
    <row r="848" spans="1:12" x14ac:dyDescent="0.3">
      <c r="A848" t="s">
        <v>1236</v>
      </c>
      <c r="B848" t="s">
        <v>516</v>
      </c>
      <c r="C848" t="s">
        <v>121</v>
      </c>
      <c r="D848" t="s">
        <v>38</v>
      </c>
      <c r="E848" t="s">
        <v>39</v>
      </c>
      <c r="F848" t="s">
        <v>46</v>
      </c>
      <c r="G848" t="s">
        <v>87</v>
      </c>
      <c r="H848" t="s">
        <v>88</v>
      </c>
      <c r="I848">
        <v>79200</v>
      </c>
      <c r="J848">
        <v>10</v>
      </c>
      <c r="K848" t="s">
        <v>20</v>
      </c>
      <c r="L848">
        <v>7706.42</v>
      </c>
    </row>
    <row r="849" spans="1:12" x14ac:dyDescent="0.3">
      <c r="A849" t="s">
        <v>1237</v>
      </c>
      <c r="B849" t="s">
        <v>131</v>
      </c>
      <c r="C849" t="s">
        <v>72</v>
      </c>
      <c r="D849" t="s">
        <v>38</v>
      </c>
      <c r="E849" t="s">
        <v>39</v>
      </c>
      <c r="F849" t="s">
        <v>25</v>
      </c>
      <c r="G849" t="s">
        <v>26</v>
      </c>
      <c r="H849" t="s">
        <v>27</v>
      </c>
      <c r="I849">
        <v>37274</v>
      </c>
      <c r="J849">
        <v>8</v>
      </c>
      <c r="K849" t="s">
        <v>20</v>
      </c>
      <c r="L849">
        <v>3896.81</v>
      </c>
    </row>
    <row r="850" spans="1:12" x14ac:dyDescent="0.3">
      <c r="A850" t="s">
        <v>1238</v>
      </c>
      <c r="B850" t="s">
        <v>532</v>
      </c>
      <c r="C850" t="s">
        <v>72</v>
      </c>
      <c r="D850" t="s">
        <v>32</v>
      </c>
      <c r="E850" t="s">
        <v>45</v>
      </c>
      <c r="F850" t="s">
        <v>17</v>
      </c>
      <c r="G850" t="s">
        <v>76</v>
      </c>
      <c r="H850" t="s">
        <v>77</v>
      </c>
      <c r="I850">
        <v>21298</v>
      </c>
      <c r="J850">
        <v>8</v>
      </c>
      <c r="K850" t="s">
        <v>34</v>
      </c>
      <c r="L850">
        <v>4799.29</v>
      </c>
    </row>
    <row r="851" spans="1:12" x14ac:dyDescent="0.3">
      <c r="A851" t="s">
        <v>1239</v>
      </c>
      <c r="B851" t="s">
        <v>803</v>
      </c>
      <c r="C851" t="s">
        <v>14</v>
      </c>
      <c r="D851" t="s">
        <v>38</v>
      </c>
      <c r="E851" t="s">
        <v>67</v>
      </c>
      <c r="F851" t="s">
        <v>17</v>
      </c>
      <c r="G851" t="s">
        <v>18</v>
      </c>
      <c r="H851" t="s">
        <v>19</v>
      </c>
      <c r="I851">
        <v>6351</v>
      </c>
      <c r="J851">
        <v>6</v>
      </c>
      <c r="K851" t="s">
        <v>53</v>
      </c>
      <c r="L851">
        <v>1382.69</v>
      </c>
    </row>
    <row r="852" spans="1:12" x14ac:dyDescent="0.3">
      <c r="A852" t="s">
        <v>1240</v>
      </c>
      <c r="B852" t="s">
        <v>1158</v>
      </c>
      <c r="C852" t="s">
        <v>121</v>
      </c>
      <c r="D852" t="s">
        <v>23</v>
      </c>
      <c r="E852" t="s">
        <v>82</v>
      </c>
      <c r="F852" t="s">
        <v>46</v>
      </c>
      <c r="G852" t="s">
        <v>47</v>
      </c>
      <c r="H852" t="s">
        <v>48</v>
      </c>
      <c r="I852">
        <v>41774</v>
      </c>
      <c r="J852">
        <v>4</v>
      </c>
      <c r="K852" t="s">
        <v>34</v>
      </c>
      <c r="L852">
        <v>5263.9</v>
      </c>
    </row>
    <row r="853" spans="1:12" x14ac:dyDescent="0.3">
      <c r="A853" t="s">
        <v>1241</v>
      </c>
      <c r="B853" t="s">
        <v>656</v>
      </c>
      <c r="C853" t="s">
        <v>121</v>
      </c>
      <c r="D853" t="s">
        <v>23</v>
      </c>
      <c r="E853" t="s">
        <v>82</v>
      </c>
      <c r="F853" t="s">
        <v>46</v>
      </c>
      <c r="G853" t="s">
        <v>94</v>
      </c>
      <c r="H853" t="s">
        <v>95</v>
      </c>
      <c r="I853">
        <v>18228</v>
      </c>
      <c r="J853">
        <v>2</v>
      </c>
      <c r="K853" t="s">
        <v>20</v>
      </c>
      <c r="L853">
        <v>1734.18</v>
      </c>
    </row>
    <row r="854" spans="1:12" x14ac:dyDescent="0.3">
      <c r="A854" t="s">
        <v>1242</v>
      </c>
      <c r="B854" t="s">
        <v>170</v>
      </c>
      <c r="C854" t="s">
        <v>14</v>
      </c>
      <c r="D854" t="s">
        <v>38</v>
      </c>
      <c r="E854" t="s">
        <v>52</v>
      </c>
      <c r="F854" t="s">
        <v>46</v>
      </c>
      <c r="G854" t="s">
        <v>87</v>
      </c>
      <c r="H854" t="s">
        <v>88</v>
      </c>
      <c r="I854">
        <v>17302</v>
      </c>
      <c r="J854">
        <v>7</v>
      </c>
      <c r="K854" t="s">
        <v>28</v>
      </c>
      <c r="L854">
        <v>3357.75</v>
      </c>
    </row>
    <row r="855" spans="1:12" x14ac:dyDescent="0.3">
      <c r="A855" t="s">
        <v>1243</v>
      </c>
      <c r="B855" t="s">
        <v>1244</v>
      </c>
      <c r="C855" t="s">
        <v>66</v>
      </c>
      <c r="D855" t="s">
        <v>38</v>
      </c>
      <c r="E855" t="s">
        <v>67</v>
      </c>
      <c r="F855" t="s">
        <v>25</v>
      </c>
      <c r="G855" t="s">
        <v>40</v>
      </c>
      <c r="H855" t="s">
        <v>41</v>
      </c>
      <c r="I855">
        <v>11038</v>
      </c>
      <c r="J855">
        <v>8</v>
      </c>
      <c r="K855" t="s">
        <v>20</v>
      </c>
      <c r="L855">
        <v>3019.87</v>
      </c>
    </row>
    <row r="856" spans="1:12" x14ac:dyDescent="0.3">
      <c r="A856" t="s">
        <v>1245</v>
      </c>
      <c r="B856" t="s">
        <v>893</v>
      </c>
      <c r="C856" t="s">
        <v>66</v>
      </c>
      <c r="D856" t="s">
        <v>23</v>
      </c>
      <c r="E856" t="s">
        <v>82</v>
      </c>
      <c r="F856" t="s">
        <v>17</v>
      </c>
      <c r="G856" t="s">
        <v>104</v>
      </c>
      <c r="H856" t="s">
        <v>105</v>
      </c>
      <c r="I856">
        <v>35337</v>
      </c>
      <c r="J856">
        <v>5</v>
      </c>
      <c r="K856" t="s">
        <v>20</v>
      </c>
      <c r="L856">
        <v>5588.64</v>
      </c>
    </row>
    <row r="857" spans="1:12" x14ac:dyDescent="0.3">
      <c r="A857" t="s">
        <v>1246</v>
      </c>
      <c r="B857" t="s">
        <v>384</v>
      </c>
      <c r="C857" t="s">
        <v>91</v>
      </c>
      <c r="D857" t="s">
        <v>38</v>
      </c>
      <c r="E857" t="s">
        <v>52</v>
      </c>
      <c r="F857" t="s">
        <v>25</v>
      </c>
      <c r="G857" t="s">
        <v>40</v>
      </c>
      <c r="H857" t="s">
        <v>41</v>
      </c>
      <c r="I857">
        <v>38199</v>
      </c>
      <c r="J857">
        <v>1</v>
      </c>
      <c r="K857" t="s">
        <v>53</v>
      </c>
      <c r="L857">
        <v>8041.74</v>
      </c>
    </row>
    <row r="858" spans="1:12" x14ac:dyDescent="0.3">
      <c r="A858" t="s">
        <v>1247</v>
      </c>
      <c r="B858" t="s">
        <v>470</v>
      </c>
      <c r="C858" t="s">
        <v>37</v>
      </c>
      <c r="D858" t="s">
        <v>32</v>
      </c>
      <c r="E858" t="s">
        <v>45</v>
      </c>
      <c r="F858" t="s">
        <v>25</v>
      </c>
      <c r="G858" t="s">
        <v>26</v>
      </c>
      <c r="H858" t="s">
        <v>27</v>
      </c>
      <c r="I858">
        <v>9080</v>
      </c>
      <c r="J858">
        <v>2</v>
      </c>
      <c r="K858" t="s">
        <v>28</v>
      </c>
      <c r="L858">
        <v>1887.39</v>
      </c>
    </row>
    <row r="859" spans="1:12" x14ac:dyDescent="0.3">
      <c r="A859" t="s">
        <v>1248</v>
      </c>
      <c r="B859" t="s">
        <v>592</v>
      </c>
      <c r="C859" t="s">
        <v>14</v>
      </c>
      <c r="D859" t="s">
        <v>38</v>
      </c>
      <c r="E859" t="s">
        <v>67</v>
      </c>
      <c r="F859" t="s">
        <v>25</v>
      </c>
      <c r="G859" t="s">
        <v>57</v>
      </c>
      <c r="H859" t="s">
        <v>58</v>
      </c>
      <c r="I859">
        <v>16887</v>
      </c>
      <c r="J859">
        <v>2</v>
      </c>
      <c r="K859" t="s">
        <v>20</v>
      </c>
      <c r="L859">
        <v>2144.63</v>
      </c>
    </row>
    <row r="860" spans="1:12" x14ac:dyDescent="0.3">
      <c r="A860" t="s">
        <v>1249</v>
      </c>
      <c r="B860" t="s">
        <v>592</v>
      </c>
      <c r="C860" t="s">
        <v>63</v>
      </c>
      <c r="D860" t="s">
        <v>15</v>
      </c>
      <c r="E860" t="s">
        <v>73</v>
      </c>
      <c r="F860" t="s">
        <v>46</v>
      </c>
      <c r="G860" t="s">
        <v>47</v>
      </c>
      <c r="H860" t="s">
        <v>48</v>
      </c>
      <c r="I860">
        <v>48883</v>
      </c>
      <c r="J860">
        <v>3</v>
      </c>
      <c r="K860" t="s">
        <v>28</v>
      </c>
      <c r="L860">
        <v>10195.23</v>
      </c>
    </row>
    <row r="861" spans="1:12" x14ac:dyDescent="0.3">
      <c r="A861" t="s">
        <v>1250</v>
      </c>
      <c r="B861" t="s">
        <v>673</v>
      </c>
      <c r="C861" t="s">
        <v>63</v>
      </c>
      <c r="D861" t="s">
        <v>15</v>
      </c>
      <c r="E861" t="s">
        <v>154</v>
      </c>
      <c r="F861" t="s">
        <v>17</v>
      </c>
      <c r="G861" t="s">
        <v>18</v>
      </c>
      <c r="H861" t="s">
        <v>19</v>
      </c>
      <c r="I861">
        <v>69533</v>
      </c>
      <c r="J861">
        <v>10</v>
      </c>
      <c r="K861" t="s">
        <v>20</v>
      </c>
      <c r="L861">
        <v>17610.189999999999</v>
      </c>
    </row>
    <row r="862" spans="1:12" x14ac:dyDescent="0.3">
      <c r="A862" t="s">
        <v>1251</v>
      </c>
      <c r="B862" t="s">
        <v>631</v>
      </c>
      <c r="C862" t="s">
        <v>14</v>
      </c>
      <c r="D862" t="s">
        <v>32</v>
      </c>
      <c r="E862" t="s">
        <v>33</v>
      </c>
      <c r="F862" t="s">
        <v>25</v>
      </c>
      <c r="G862" t="s">
        <v>40</v>
      </c>
      <c r="H862" t="s">
        <v>41</v>
      </c>
      <c r="I862">
        <v>4511</v>
      </c>
      <c r="J862">
        <v>5</v>
      </c>
      <c r="K862" t="s">
        <v>34</v>
      </c>
      <c r="L862">
        <v>1007.52</v>
      </c>
    </row>
    <row r="863" spans="1:12" x14ac:dyDescent="0.3">
      <c r="A863" t="s">
        <v>1252</v>
      </c>
      <c r="B863" t="s">
        <v>747</v>
      </c>
      <c r="C863" t="s">
        <v>44</v>
      </c>
      <c r="D863" t="s">
        <v>32</v>
      </c>
      <c r="E863" t="s">
        <v>45</v>
      </c>
      <c r="F863" t="s">
        <v>25</v>
      </c>
      <c r="G863" t="s">
        <v>40</v>
      </c>
      <c r="H863" t="s">
        <v>41</v>
      </c>
      <c r="I863">
        <v>51766</v>
      </c>
      <c r="J863">
        <v>4</v>
      </c>
      <c r="K863" t="s">
        <v>49</v>
      </c>
      <c r="L863">
        <v>9621.1</v>
      </c>
    </row>
    <row r="864" spans="1:12" x14ac:dyDescent="0.3">
      <c r="A864" t="s">
        <v>1253</v>
      </c>
      <c r="B864" t="s">
        <v>747</v>
      </c>
      <c r="C864" t="s">
        <v>14</v>
      </c>
      <c r="D864" t="s">
        <v>15</v>
      </c>
      <c r="E864" t="s">
        <v>154</v>
      </c>
      <c r="F864" t="s">
        <v>25</v>
      </c>
      <c r="G864" t="s">
        <v>40</v>
      </c>
      <c r="H864" t="s">
        <v>41</v>
      </c>
      <c r="I864">
        <v>19178</v>
      </c>
      <c r="J864">
        <v>8</v>
      </c>
      <c r="K864" t="s">
        <v>34</v>
      </c>
      <c r="L864">
        <v>1645.29</v>
      </c>
    </row>
    <row r="865" spans="1:12" x14ac:dyDescent="0.3">
      <c r="A865" t="s">
        <v>1254</v>
      </c>
      <c r="B865" t="s">
        <v>1255</v>
      </c>
      <c r="C865" t="s">
        <v>37</v>
      </c>
      <c r="D865" t="s">
        <v>38</v>
      </c>
      <c r="E865" t="s">
        <v>39</v>
      </c>
      <c r="F865" t="s">
        <v>25</v>
      </c>
      <c r="G865" t="s">
        <v>40</v>
      </c>
      <c r="H865" t="s">
        <v>41</v>
      </c>
      <c r="I865">
        <v>12061</v>
      </c>
      <c r="J865">
        <v>3</v>
      </c>
      <c r="K865" t="s">
        <v>49</v>
      </c>
      <c r="L865">
        <v>2153.12</v>
      </c>
    </row>
    <row r="866" spans="1:12" x14ac:dyDescent="0.3">
      <c r="A866" t="s">
        <v>1256</v>
      </c>
      <c r="B866" t="s">
        <v>661</v>
      </c>
      <c r="C866" t="s">
        <v>37</v>
      </c>
      <c r="D866" t="s">
        <v>32</v>
      </c>
      <c r="E866" t="s">
        <v>33</v>
      </c>
      <c r="F866" t="s">
        <v>46</v>
      </c>
      <c r="G866" t="s">
        <v>47</v>
      </c>
      <c r="H866" t="s">
        <v>48</v>
      </c>
      <c r="I866">
        <v>72912</v>
      </c>
      <c r="J866">
        <v>6</v>
      </c>
      <c r="K866" t="s">
        <v>34</v>
      </c>
      <c r="L866">
        <v>11238.86</v>
      </c>
    </row>
    <row r="867" spans="1:12" x14ac:dyDescent="0.3">
      <c r="A867" t="s">
        <v>1257</v>
      </c>
      <c r="B867" t="s">
        <v>93</v>
      </c>
      <c r="C867" t="s">
        <v>66</v>
      </c>
      <c r="D867" t="s">
        <v>38</v>
      </c>
      <c r="E867" t="s">
        <v>52</v>
      </c>
      <c r="F867" t="s">
        <v>25</v>
      </c>
      <c r="G867" t="s">
        <v>40</v>
      </c>
      <c r="H867" t="s">
        <v>41</v>
      </c>
      <c r="I867">
        <v>58919</v>
      </c>
      <c r="J867">
        <v>2</v>
      </c>
      <c r="K867" t="s">
        <v>49</v>
      </c>
      <c r="L867">
        <v>8094.6</v>
      </c>
    </row>
    <row r="868" spans="1:12" x14ac:dyDescent="0.3">
      <c r="A868" t="s">
        <v>1258</v>
      </c>
      <c r="B868" t="s">
        <v>202</v>
      </c>
      <c r="C868" t="s">
        <v>56</v>
      </c>
      <c r="D868" t="s">
        <v>23</v>
      </c>
      <c r="E868" t="s">
        <v>82</v>
      </c>
      <c r="F868" t="s">
        <v>17</v>
      </c>
      <c r="G868" t="s">
        <v>104</v>
      </c>
      <c r="H868" t="s">
        <v>105</v>
      </c>
      <c r="I868">
        <v>22976</v>
      </c>
      <c r="J868">
        <v>8</v>
      </c>
      <c r="K868" t="s">
        <v>53</v>
      </c>
      <c r="L868">
        <v>2208.64</v>
      </c>
    </row>
    <row r="869" spans="1:12" x14ac:dyDescent="0.3">
      <c r="A869" t="s">
        <v>1259</v>
      </c>
      <c r="B869" t="s">
        <v>1186</v>
      </c>
      <c r="C869" t="s">
        <v>14</v>
      </c>
      <c r="D869" t="s">
        <v>38</v>
      </c>
      <c r="E869" t="s">
        <v>67</v>
      </c>
      <c r="F869" t="s">
        <v>17</v>
      </c>
      <c r="G869" t="s">
        <v>18</v>
      </c>
      <c r="H869" t="s">
        <v>19</v>
      </c>
      <c r="I869">
        <v>77916</v>
      </c>
      <c r="J869">
        <v>3</v>
      </c>
      <c r="K869" t="s">
        <v>49</v>
      </c>
      <c r="L869">
        <v>20944.57</v>
      </c>
    </row>
    <row r="870" spans="1:12" x14ac:dyDescent="0.3">
      <c r="A870" t="s">
        <v>1260</v>
      </c>
      <c r="B870" t="s">
        <v>236</v>
      </c>
      <c r="C870" t="s">
        <v>121</v>
      </c>
      <c r="D870" t="s">
        <v>38</v>
      </c>
      <c r="E870" t="s">
        <v>52</v>
      </c>
      <c r="F870" t="s">
        <v>17</v>
      </c>
      <c r="G870" t="s">
        <v>76</v>
      </c>
      <c r="H870" t="s">
        <v>77</v>
      </c>
      <c r="I870">
        <v>55345</v>
      </c>
      <c r="J870">
        <v>4</v>
      </c>
      <c r="K870" t="s">
        <v>53</v>
      </c>
      <c r="L870">
        <v>7480.9</v>
      </c>
    </row>
    <row r="871" spans="1:12" x14ac:dyDescent="0.3">
      <c r="A871" t="s">
        <v>1261</v>
      </c>
      <c r="B871" t="s">
        <v>145</v>
      </c>
      <c r="C871" t="s">
        <v>37</v>
      </c>
      <c r="D871" t="s">
        <v>32</v>
      </c>
      <c r="E871" t="s">
        <v>45</v>
      </c>
      <c r="F871" t="s">
        <v>17</v>
      </c>
      <c r="G871" t="s">
        <v>76</v>
      </c>
      <c r="H871" t="s">
        <v>77</v>
      </c>
      <c r="I871">
        <v>15636</v>
      </c>
      <c r="J871">
        <v>9</v>
      </c>
      <c r="K871" t="s">
        <v>34</v>
      </c>
      <c r="L871">
        <v>1887.87</v>
      </c>
    </row>
    <row r="872" spans="1:12" x14ac:dyDescent="0.3">
      <c r="A872" t="s">
        <v>1262</v>
      </c>
      <c r="B872" t="s">
        <v>312</v>
      </c>
      <c r="C872" t="s">
        <v>37</v>
      </c>
      <c r="D872" t="s">
        <v>15</v>
      </c>
      <c r="E872" t="s">
        <v>16</v>
      </c>
      <c r="F872" t="s">
        <v>25</v>
      </c>
      <c r="G872" t="s">
        <v>57</v>
      </c>
      <c r="H872" t="s">
        <v>58</v>
      </c>
      <c r="I872">
        <v>74570</v>
      </c>
      <c r="J872">
        <v>10</v>
      </c>
      <c r="K872" t="s">
        <v>49</v>
      </c>
      <c r="L872">
        <v>11133.39</v>
      </c>
    </row>
    <row r="873" spans="1:12" x14ac:dyDescent="0.3">
      <c r="A873" t="s">
        <v>1263</v>
      </c>
      <c r="B873" t="s">
        <v>222</v>
      </c>
      <c r="C873" t="s">
        <v>14</v>
      </c>
      <c r="D873" t="s">
        <v>15</v>
      </c>
      <c r="E873" t="s">
        <v>154</v>
      </c>
      <c r="F873" t="s">
        <v>17</v>
      </c>
      <c r="G873" t="s">
        <v>18</v>
      </c>
      <c r="H873" t="s">
        <v>19</v>
      </c>
      <c r="I873">
        <v>32445</v>
      </c>
      <c r="J873">
        <v>4</v>
      </c>
      <c r="K873" t="s">
        <v>28</v>
      </c>
      <c r="L873">
        <v>5126.8100000000004</v>
      </c>
    </row>
    <row r="874" spans="1:12" x14ac:dyDescent="0.3">
      <c r="A874" t="s">
        <v>1264</v>
      </c>
      <c r="B874" t="s">
        <v>1041</v>
      </c>
      <c r="C874" t="s">
        <v>91</v>
      </c>
      <c r="D874" t="s">
        <v>32</v>
      </c>
      <c r="E874" t="s">
        <v>45</v>
      </c>
      <c r="F874" t="s">
        <v>46</v>
      </c>
      <c r="G874" t="s">
        <v>94</v>
      </c>
      <c r="H874" t="s">
        <v>95</v>
      </c>
      <c r="I874">
        <v>18611</v>
      </c>
      <c r="J874">
        <v>9</v>
      </c>
      <c r="K874" t="s">
        <v>34</v>
      </c>
      <c r="L874">
        <v>4458.42</v>
      </c>
    </row>
    <row r="875" spans="1:12" x14ac:dyDescent="0.3">
      <c r="A875" t="s">
        <v>1265</v>
      </c>
      <c r="B875" t="s">
        <v>348</v>
      </c>
      <c r="C875" t="s">
        <v>63</v>
      </c>
      <c r="D875" t="s">
        <v>32</v>
      </c>
      <c r="E875" t="s">
        <v>116</v>
      </c>
      <c r="F875" t="s">
        <v>46</v>
      </c>
      <c r="G875" t="s">
        <v>47</v>
      </c>
      <c r="H875" t="s">
        <v>48</v>
      </c>
      <c r="I875">
        <v>25613</v>
      </c>
      <c r="J875">
        <v>4</v>
      </c>
      <c r="K875" t="s">
        <v>34</v>
      </c>
      <c r="L875">
        <v>3640.71</v>
      </c>
    </row>
    <row r="876" spans="1:12" x14ac:dyDescent="0.3">
      <c r="A876" t="s">
        <v>1266</v>
      </c>
      <c r="B876" t="s">
        <v>485</v>
      </c>
      <c r="C876" t="s">
        <v>72</v>
      </c>
      <c r="D876" t="s">
        <v>32</v>
      </c>
      <c r="E876" t="s">
        <v>45</v>
      </c>
      <c r="F876" t="s">
        <v>17</v>
      </c>
      <c r="G876" t="s">
        <v>104</v>
      </c>
      <c r="H876" t="s">
        <v>105</v>
      </c>
      <c r="I876">
        <v>79855</v>
      </c>
      <c r="J876">
        <v>3</v>
      </c>
      <c r="K876" t="s">
        <v>49</v>
      </c>
      <c r="L876">
        <v>21181.25</v>
      </c>
    </row>
    <row r="877" spans="1:12" x14ac:dyDescent="0.3">
      <c r="A877" t="s">
        <v>1267</v>
      </c>
      <c r="B877" t="s">
        <v>399</v>
      </c>
      <c r="C877" t="s">
        <v>31</v>
      </c>
      <c r="D877" t="s">
        <v>15</v>
      </c>
      <c r="E877" t="s">
        <v>16</v>
      </c>
      <c r="F877" t="s">
        <v>46</v>
      </c>
      <c r="G877" t="s">
        <v>47</v>
      </c>
      <c r="H877" t="s">
        <v>48</v>
      </c>
      <c r="I877">
        <v>74196</v>
      </c>
      <c r="J877">
        <v>5</v>
      </c>
      <c r="K877" t="s">
        <v>49</v>
      </c>
      <c r="L877">
        <v>14777.66</v>
      </c>
    </row>
    <row r="878" spans="1:12" x14ac:dyDescent="0.3">
      <c r="A878" t="s">
        <v>1268</v>
      </c>
      <c r="B878" t="s">
        <v>587</v>
      </c>
      <c r="C878" t="s">
        <v>37</v>
      </c>
      <c r="D878" t="s">
        <v>32</v>
      </c>
      <c r="E878" t="s">
        <v>45</v>
      </c>
      <c r="F878" t="s">
        <v>25</v>
      </c>
      <c r="G878" t="s">
        <v>40</v>
      </c>
      <c r="H878" t="s">
        <v>41</v>
      </c>
      <c r="I878">
        <v>16672</v>
      </c>
      <c r="J878">
        <v>9</v>
      </c>
      <c r="K878" t="s">
        <v>34</v>
      </c>
      <c r="L878">
        <v>1700.19</v>
      </c>
    </row>
    <row r="879" spans="1:12" x14ac:dyDescent="0.3">
      <c r="A879" t="s">
        <v>1269</v>
      </c>
      <c r="B879" t="s">
        <v>149</v>
      </c>
      <c r="C879" t="s">
        <v>121</v>
      </c>
      <c r="D879" t="s">
        <v>32</v>
      </c>
      <c r="E879" t="s">
        <v>45</v>
      </c>
      <c r="F879" t="s">
        <v>17</v>
      </c>
      <c r="G879" t="s">
        <v>104</v>
      </c>
      <c r="H879" t="s">
        <v>105</v>
      </c>
      <c r="I879">
        <v>12949</v>
      </c>
      <c r="J879">
        <v>10</v>
      </c>
      <c r="K879" t="s">
        <v>49</v>
      </c>
      <c r="L879">
        <v>1207.49</v>
      </c>
    </row>
    <row r="880" spans="1:12" x14ac:dyDescent="0.3">
      <c r="A880" t="s">
        <v>1270</v>
      </c>
      <c r="B880" t="s">
        <v>656</v>
      </c>
      <c r="C880" t="s">
        <v>72</v>
      </c>
      <c r="D880" t="s">
        <v>32</v>
      </c>
      <c r="E880" t="s">
        <v>45</v>
      </c>
      <c r="F880" t="s">
        <v>17</v>
      </c>
      <c r="G880" t="s">
        <v>104</v>
      </c>
      <c r="H880" t="s">
        <v>105</v>
      </c>
      <c r="I880">
        <v>65412</v>
      </c>
      <c r="J880">
        <v>9</v>
      </c>
      <c r="K880" t="s">
        <v>28</v>
      </c>
      <c r="L880">
        <v>7960.12</v>
      </c>
    </row>
    <row r="881" spans="1:12" x14ac:dyDescent="0.3">
      <c r="A881" t="s">
        <v>1271</v>
      </c>
      <c r="B881" t="s">
        <v>487</v>
      </c>
      <c r="C881" t="s">
        <v>121</v>
      </c>
      <c r="D881" t="s">
        <v>15</v>
      </c>
      <c r="E881" t="s">
        <v>154</v>
      </c>
      <c r="F881" t="s">
        <v>25</v>
      </c>
      <c r="G881" t="s">
        <v>57</v>
      </c>
      <c r="H881" t="s">
        <v>58</v>
      </c>
      <c r="I881">
        <v>29727</v>
      </c>
      <c r="J881">
        <v>1</v>
      </c>
      <c r="K881" t="s">
        <v>28</v>
      </c>
      <c r="L881">
        <v>3132.85</v>
      </c>
    </row>
    <row r="882" spans="1:12" x14ac:dyDescent="0.3">
      <c r="A882" t="s">
        <v>1272</v>
      </c>
      <c r="B882" t="s">
        <v>1229</v>
      </c>
      <c r="C882" t="s">
        <v>63</v>
      </c>
      <c r="D882" t="s">
        <v>38</v>
      </c>
      <c r="E882" t="s">
        <v>67</v>
      </c>
      <c r="F882" t="s">
        <v>46</v>
      </c>
      <c r="G882" t="s">
        <v>47</v>
      </c>
      <c r="H882" t="s">
        <v>48</v>
      </c>
      <c r="I882">
        <v>49123</v>
      </c>
      <c r="J882">
        <v>7</v>
      </c>
      <c r="K882" t="s">
        <v>34</v>
      </c>
      <c r="L882">
        <v>5468.48</v>
      </c>
    </row>
    <row r="883" spans="1:12" x14ac:dyDescent="0.3">
      <c r="A883" t="s">
        <v>1273</v>
      </c>
      <c r="B883" t="s">
        <v>751</v>
      </c>
      <c r="C883" t="s">
        <v>91</v>
      </c>
      <c r="D883" t="s">
        <v>15</v>
      </c>
      <c r="E883" t="s">
        <v>73</v>
      </c>
      <c r="F883" t="s">
        <v>25</v>
      </c>
      <c r="G883" t="s">
        <v>40</v>
      </c>
      <c r="H883" t="s">
        <v>41</v>
      </c>
      <c r="I883">
        <v>28544</v>
      </c>
      <c r="J883">
        <v>3</v>
      </c>
      <c r="K883" t="s">
        <v>20</v>
      </c>
      <c r="L883">
        <v>6002.93</v>
      </c>
    </row>
    <row r="884" spans="1:12" x14ac:dyDescent="0.3">
      <c r="A884" t="s">
        <v>1274</v>
      </c>
      <c r="B884" t="s">
        <v>304</v>
      </c>
      <c r="C884" t="s">
        <v>63</v>
      </c>
      <c r="D884" t="s">
        <v>15</v>
      </c>
      <c r="E884" t="s">
        <v>16</v>
      </c>
      <c r="F884" t="s">
        <v>46</v>
      </c>
      <c r="G884" t="s">
        <v>47</v>
      </c>
      <c r="H884" t="s">
        <v>48</v>
      </c>
      <c r="I884">
        <v>66832</v>
      </c>
      <c r="J884">
        <v>7</v>
      </c>
      <c r="K884" t="s">
        <v>53</v>
      </c>
      <c r="L884">
        <v>12892.74</v>
      </c>
    </row>
    <row r="885" spans="1:12" x14ac:dyDescent="0.3">
      <c r="A885" t="s">
        <v>1275</v>
      </c>
      <c r="B885" t="s">
        <v>340</v>
      </c>
      <c r="C885" t="s">
        <v>14</v>
      </c>
      <c r="D885" t="s">
        <v>15</v>
      </c>
      <c r="E885" t="s">
        <v>73</v>
      </c>
      <c r="F885" t="s">
        <v>46</v>
      </c>
      <c r="G885" t="s">
        <v>47</v>
      </c>
      <c r="H885" t="s">
        <v>48</v>
      </c>
      <c r="I885">
        <v>36214</v>
      </c>
      <c r="J885">
        <v>6</v>
      </c>
      <c r="K885" t="s">
        <v>20</v>
      </c>
      <c r="L885">
        <v>5924.71</v>
      </c>
    </row>
    <row r="886" spans="1:12" x14ac:dyDescent="0.3">
      <c r="A886" t="s">
        <v>1276</v>
      </c>
      <c r="B886" t="s">
        <v>1229</v>
      </c>
      <c r="C886" t="s">
        <v>14</v>
      </c>
      <c r="D886" t="s">
        <v>15</v>
      </c>
      <c r="E886" t="s">
        <v>16</v>
      </c>
      <c r="F886" t="s">
        <v>25</v>
      </c>
      <c r="G886" t="s">
        <v>26</v>
      </c>
      <c r="H886" t="s">
        <v>27</v>
      </c>
      <c r="I886">
        <v>55685</v>
      </c>
      <c r="J886">
        <v>7</v>
      </c>
      <c r="K886" t="s">
        <v>20</v>
      </c>
      <c r="L886">
        <v>11371.2</v>
      </c>
    </row>
    <row r="887" spans="1:12" x14ac:dyDescent="0.3">
      <c r="A887" t="s">
        <v>1277</v>
      </c>
      <c r="B887" t="s">
        <v>518</v>
      </c>
      <c r="C887" t="s">
        <v>72</v>
      </c>
      <c r="D887" t="s">
        <v>32</v>
      </c>
      <c r="E887" t="s">
        <v>33</v>
      </c>
      <c r="F887" t="s">
        <v>17</v>
      </c>
      <c r="G887" t="s">
        <v>104</v>
      </c>
      <c r="H887" t="s">
        <v>105</v>
      </c>
      <c r="I887">
        <v>71172</v>
      </c>
      <c r="J887">
        <v>4</v>
      </c>
      <c r="K887" t="s">
        <v>49</v>
      </c>
      <c r="L887">
        <v>5859.75</v>
      </c>
    </row>
    <row r="888" spans="1:12" x14ac:dyDescent="0.3">
      <c r="A888" t="s">
        <v>1278</v>
      </c>
      <c r="B888" t="s">
        <v>518</v>
      </c>
      <c r="C888" t="s">
        <v>66</v>
      </c>
      <c r="D888" t="s">
        <v>23</v>
      </c>
      <c r="E888" t="s">
        <v>24</v>
      </c>
      <c r="F888" t="s">
        <v>46</v>
      </c>
      <c r="G888" t="s">
        <v>94</v>
      </c>
      <c r="H888" t="s">
        <v>95</v>
      </c>
      <c r="I888">
        <v>45752</v>
      </c>
      <c r="J888">
        <v>4</v>
      </c>
      <c r="K888" t="s">
        <v>34</v>
      </c>
      <c r="L888">
        <v>8450.98</v>
      </c>
    </row>
    <row r="889" spans="1:12" x14ac:dyDescent="0.3">
      <c r="A889" t="s">
        <v>1279</v>
      </c>
      <c r="B889" t="s">
        <v>184</v>
      </c>
      <c r="C889" t="s">
        <v>56</v>
      </c>
      <c r="D889" t="s">
        <v>15</v>
      </c>
      <c r="E889" t="s">
        <v>154</v>
      </c>
      <c r="F889" t="s">
        <v>25</v>
      </c>
      <c r="G889" t="s">
        <v>40</v>
      </c>
      <c r="H889" t="s">
        <v>41</v>
      </c>
      <c r="I889">
        <v>17857</v>
      </c>
      <c r="J889">
        <v>4</v>
      </c>
      <c r="K889" t="s">
        <v>53</v>
      </c>
      <c r="L889">
        <v>3240.93</v>
      </c>
    </row>
    <row r="890" spans="1:12" x14ac:dyDescent="0.3">
      <c r="A890" t="s">
        <v>1280</v>
      </c>
      <c r="B890" t="s">
        <v>550</v>
      </c>
      <c r="C890" t="s">
        <v>14</v>
      </c>
      <c r="D890" t="s">
        <v>32</v>
      </c>
      <c r="E890" t="s">
        <v>33</v>
      </c>
      <c r="F890" t="s">
        <v>25</v>
      </c>
      <c r="G890" t="s">
        <v>26</v>
      </c>
      <c r="H890" t="s">
        <v>27</v>
      </c>
      <c r="I890">
        <v>4498</v>
      </c>
      <c r="J890">
        <v>2</v>
      </c>
      <c r="K890" t="s">
        <v>20</v>
      </c>
      <c r="L890">
        <v>506.89</v>
      </c>
    </row>
    <row r="891" spans="1:12" x14ac:dyDescent="0.3">
      <c r="A891" t="s">
        <v>1281</v>
      </c>
      <c r="B891" t="s">
        <v>620</v>
      </c>
      <c r="C891" t="s">
        <v>31</v>
      </c>
      <c r="D891" t="s">
        <v>23</v>
      </c>
      <c r="E891" t="s">
        <v>24</v>
      </c>
      <c r="F891" t="s">
        <v>17</v>
      </c>
      <c r="G891" t="s">
        <v>104</v>
      </c>
      <c r="H891" t="s">
        <v>105</v>
      </c>
      <c r="I891">
        <v>52124</v>
      </c>
      <c r="J891">
        <v>2</v>
      </c>
      <c r="K891" t="s">
        <v>28</v>
      </c>
      <c r="L891">
        <v>6033.99</v>
      </c>
    </row>
    <row r="892" spans="1:12" x14ac:dyDescent="0.3">
      <c r="A892" t="s">
        <v>1282</v>
      </c>
      <c r="B892" t="s">
        <v>803</v>
      </c>
      <c r="C892" t="s">
        <v>37</v>
      </c>
      <c r="D892" t="s">
        <v>38</v>
      </c>
      <c r="E892" t="s">
        <v>67</v>
      </c>
      <c r="F892" t="s">
        <v>46</v>
      </c>
      <c r="G892" t="s">
        <v>47</v>
      </c>
      <c r="H892" t="s">
        <v>48</v>
      </c>
      <c r="I892">
        <v>42501</v>
      </c>
      <c r="J892">
        <v>9</v>
      </c>
      <c r="K892" t="s">
        <v>20</v>
      </c>
      <c r="L892">
        <v>6804.85</v>
      </c>
    </row>
    <row r="893" spans="1:12" x14ac:dyDescent="0.3">
      <c r="A893" t="s">
        <v>1283</v>
      </c>
      <c r="B893" t="s">
        <v>375</v>
      </c>
      <c r="C893" t="s">
        <v>66</v>
      </c>
      <c r="D893" t="s">
        <v>32</v>
      </c>
      <c r="E893" t="s">
        <v>116</v>
      </c>
      <c r="F893" t="s">
        <v>25</v>
      </c>
      <c r="G893" t="s">
        <v>57</v>
      </c>
      <c r="H893" t="s">
        <v>58</v>
      </c>
      <c r="I893">
        <v>40176</v>
      </c>
      <c r="J893">
        <v>4</v>
      </c>
      <c r="K893" t="s">
        <v>28</v>
      </c>
      <c r="L893">
        <v>5344.57</v>
      </c>
    </row>
    <row r="894" spans="1:12" x14ac:dyDescent="0.3">
      <c r="A894" t="s">
        <v>1284</v>
      </c>
      <c r="B894" t="s">
        <v>472</v>
      </c>
      <c r="C894" t="s">
        <v>14</v>
      </c>
      <c r="D894" t="s">
        <v>38</v>
      </c>
      <c r="E894" t="s">
        <v>52</v>
      </c>
      <c r="F894" t="s">
        <v>17</v>
      </c>
      <c r="G894" t="s">
        <v>76</v>
      </c>
      <c r="H894" t="s">
        <v>77</v>
      </c>
      <c r="I894">
        <v>39222</v>
      </c>
      <c r="J894">
        <v>7</v>
      </c>
      <c r="K894" t="s">
        <v>28</v>
      </c>
      <c r="L894">
        <v>5240.71</v>
      </c>
    </row>
    <row r="895" spans="1:12" x14ac:dyDescent="0.3">
      <c r="A895" t="s">
        <v>1285</v>
      </c>
      <c r="B895" t="s">
        <v>745</v>
      </c>
      <c r="C895" t="s">
        <v>37</v>
      </c>
      <c r="D895" t="s">
        <v>15</v>
      </c>
      <c r="E895" t="s">
        <v>73</v>
      </c>
      <c r="F895" t="s">
        <v>25</v>
      </c>
      <c r="G895" t="s">
        <v>40</v>
      </c>
      <c r="H895" t="s">
        <v>41</v>
      </c>
      <c r="I895">
        <v>47562</v>
      </c>
      <c r="J895">
        <v>4</v>
      </c>
      <c r="K895" t="s">
        <v>49</v>
      </c>
      <c r="L895">
        <v>9282.26</v>
      </c>
    </row>
    <row r="896" spans="1:12" x14ac:dyDescent="0.3">
      <c r="A896" t="s">
        <v>1286</v>
      </c>
      <c r="B896" t="s">
        <v>120</v>
      </c>
      <c r="C896" t="s">
        <v>31</v>
      </c>
      <c r="D896" t="s">
        <v>23</v>
      </c>
      <c r="E896" t="s">
        <v>24</v>
      </c>
      <c r="F896" t="s">
        <v>17</v>
      </c>
      <c r="G896" t="s">
        <v>104</v>
      </c>
      <c r="H896" t="s">
        <v>105</v>
      </c>
      <c r="I896">
        <v>60577</v>
      </c>
      <c r="J896">
        <v>3</v>
      </c>
      <c r="K896" t="s">
        <v>34</v>
      </c>
      <c r="L896">
        <v>10041.36</v>
      </c>
    </row>
    <row r="897" spans="1:12" x14ac:dyDescent="0.3">
      <c r="A897" t="s">
        <v>1287</v>
      </c>
      <c r="B897" t="s">
        <v>1288</v>
      </c>
      <c r="C897" t="s">
        <v>14</v>
      </c>
      <c r="D897" t="s">
        <v>32</v>
      </c>
      <c r="E897" t="s">
        <v>116</v>
      </c>
      <c r="F897" t="s">
        <v>46</v>
      </c>
      <c r="G897" t="s">
        <v>87</v>
      </c>
      <c r="H897" t="s">
        <v>88</v>
      </c>
      <c r="I897">
        <v>74100</v>
      </c>
      <c r="J897">
        <v>8</v>
      </c>
      <c r="K897" t="s">
        <v>34</v>
      </c>
      <c r="L897">
        <v>18478.14</v>
      </c>
    </row>
    <row r="898" spans="1:12" x14ac:dyDescent="0.3">
      <c r="A898" t="s">
        <v>1289</v>
      </c>
      <c r="B898" t="s">
        <v>426</v>
      </c>
      <c r="C898" t="s">
        <v>91</v>
      </c>
      <c r="D898" t="s">
        <v>23</v>
      </c>
      <c r="E898" t="s">
        <v>24</v>
      </c>
      <c r="F898" t="s">
        <v>46</v>
      </c>
      <c r="G898" t="s">
        <v>94</v>
      </c>
      <c r="H898" t="s">
        <v>95</v>
      </c>
      <c r="I898">
        <v>14901</v>
      </c>
      <c r="J898">
        <v>2</v>
      </c>
      <c r="K898" t="s">
        <v>49</v>
      </c>
      <c r="L898">
        <v>3467.67</v>
      </c>
    </row>
    <row r="899" spans="1:12" x14ac:dyDescent="0.3">
      <c r="A899" t="s">
        <v>1290</v>
      </c>
      <c r="B899" t="s">
        <v>390</v>
      </c>
      <c r="C899" t="s">
        <v>44</v>
      </c>
      <c r="D899" t="s">
        <v>32</v>
      </c>
      <c r="E899" t="s">
        <v>33</v>
      </c>
      <c r="F899" t="s">
        <v>17</v>
      </c>
      <c r="G899" t="s">
        <v>76</v>
      </c>
      <c r="H899" t="s">
        <v>77</v>
      </c>
      <c r="I899">
        <v>22140</v>
      </c>
      <c r="J899">
        <v>1</v>
      </c>
      <c r="K899" t="s">
        <v>53</v>
      </c>
      <c r="L899">
        <v>4167.8</v>
      </c>
    </row>
    <row r="900" spans="1:12" x14ac:dyDescent="0.3">
      <c r="A900" t="s">
        <v>1291</v>
      </c>
      <c r="B900" t="s">
        <v>516</v>
      </c>
      <c r="C900" t="s">
        <v>66</v>
      </c>
      <c r="D900" t="s">
        <v>32</v>
      </c>
      <c r="E900" t="s">
        <v>45</v>
      </c>
      <c r="F900" t="s">
        <v>25</v>
      </c>
      <c r="G900" t="s">
        <v>57</v>
      </c>
      <c r="H900" t="s">
        <v>58</v>
      </c>
      <c r="I900">
        <v>18018</v>
      </c>
      <c r="J900">
        <v>10</v>
      </c>
      <c r="K900" t="s">
        <v>53</v>
      </c>
      <c r="L900">
        <v>4612.3599999999997</v>
      </c>
    </row>
    <row r="901" spans="1:12" x14ac:dyDescent="0.3">
      <c r="A901" t="s">
        <v>1292</v>
      </c>
      <c r="B901" t="s">
        <v>506</v>
      </c>
      <c r="C901" t="s">
        <v>14</v>
      </c>
      <c r="D901" t="s">
        <v>15</v>
      </c>
      <c r="E901" t="s">
        <v>16</v>
      </c>
      <c r="F901" t="s">
        <v>17</v>
      </c>
      <c r="G901" t="s">
        <v>104</v>
      </c>
      <c r="H901" t="s">
        <v>105</v>
      </c>
      <c r="I901">
        <v>64212</v>
      </c>
      <c r="J901">
        <v>7</v>
      </c>
      <c r="K901" t="s">
        <v>34</v>
      </c>
      <c r="L901">
        <v>13588.44</v>
      </c>
    </row>
    <row r="902" spans="1:12" x14ac:dyDescent="0.3">
      <c r="A902" t="s">
        <v>1293</v>
      </c>
      <c r="B902" t="s">
        <v>767</v>
      </c>
      <c r="C902" t="s">
        <v>37</v>
      </c>
      <c r="D902" t="s">
        <v>15</v>
      </c>
      <c r="E902" t="s">
        <v>73</v>
      </c>
      <c r="F902" t="s">
        <v>46</v>
      </c>
      <c r="G902" t="s">
        <v>47</v>
      </c>
      <c r="H902" t="s">
        <v>48</v>
      </c>
      <c r="I902">
        <v>74577</v>
      </c>
      <c r="J902">
        <v>2</v>
      </c>
      <c r="K902" t="s">
        <v>20</v>
      </c>
      <c r="L902">
        <v>19065.3</v>
      </c>
    </row>
    <row r="903" spans="1:12" x14ac:dyDescent="0.3">
      <c r="A903" t="s">
        <v>1294</v>
      </c>
      <c r="B903" t="s">
        <v>212</v>
      </c>
      <c r="C903" t="s">
        <v>72</v>
      </c>
      <c r="D903" t="s">
        <v>15</v>
      </c>
      <c r="E903" t="s">
        <v>16</v>
      </c>
      <c r="F903" t="s">
        <v>17</v>
      </c>
      <c r="G903" t="s">
        <v>104</v>
      </c>
      <c r="H903" t="s">
        <v>105</v>
      </c>
      <c r="I903">
        <v>25607</v>
      </c>
      <c r="J903">
        <v>2</v>
      </c>
      <c r="K903" t="s">
        <v>53</v>
      </c>
      <c r="L903">
        <v>4060.74</v>
      </c>
    </row>
    <row r="904" spans="1:12" x14ac:dyDescent="0.3">
      <c r="A904" t="s">
        <v>1295</v>
      </c>
      <c r="B904" t="s">
        <v>1296</v>
      </c>
      <c r="C904" t="s">
        <v>44</v>
      </c>
      <c r="D904" t="s">
        <v>38</v>
      </c>
      <c r="E904" t="s">
        <v>39</v>
      </c>
      <c r="F904" t="s">
        <v>17</v>
      </c>
      <c r="G904" t="s">
        <v>18</v>
      </c>
      <c r="H904" t="s">
        <v>19</v>
      </c>
      <c r="I904">
        <v>35361</v>
      </c>
      <c r="J904">
        <v>8</v>
      </c>
      <c r="K904" t="s">
        <v>34</v>
      </c>
      <c r="L904">
        <v>7878.16</v>
      </c>
    </row>
    <row r="905" spans="1:12" x14ac:dyDescent="0.3">
      <c r="A905" t="s">
        <v>1297</v>
      </c>
      <c r="B905" t="s">
        <v>661</v>
      </c>
      <c r="C905" t="s">
        <v>44</v>
      </c>
      <c r="D905" t="s">
        <v>23</v>
      </c>
      <c r="E905" t="s">
        <v>24</v>
      </c>
      <c r="F905" t="s">
        <v>17</v>
      </c>
      <c r="G905" t="s">
        <v>18</v>
      </c>
      <c r="H905" t="s">
        <v>19</v>
      </c>
      <c r="I905">
        <v>64989</v>
      </c>
      <c r="J905">
        <v>6</v>
      </c>
      <c r="K905" t="s">
        <v>28</v>
      </c>
      <c r="L905">
        <v>14188.67</v>
      </c>
    </row>
    <row r="906" spans="1:12" x14ac:dyDescent="0.3">
      <c r="A906" t="s">
        <v>1298</v>
      </c>
      <c r="B906" t="s">
        <v>643</v>
      </c>
      <c r="C906" t="s">
        <v>31</v>
      </c>
      <c r="D906" t="s">
        <v>15</v>
      </c>
      <c r="E906" t="s">
        <v>16</v>
      </c>
      <c r="F906" t="s">
        <v>25</v>
      </c>
      <c r="G906" t="s">
        <v>26</v>
      </c>
      <c r="H906" t="s">
        <v>27</v>
      </c>
      <c r="I906">
        <v>15525</v>
      </c>
      <c r="J906">
        <v>1</v>
      </c>
      <c r="K906" t="s">
        <v>28</v>
      </c>
      <c r="L906">
        <v>4035.03</v>
      </c>
    </row>
    <row r="907" spans="1:12" x14ac:dyDescent="0.3">
      <c r="A907" t="s">
        <v>1299</v>
      </c>
      <c r="B907" t="s">
        <v>226</v>
      </c>
      <c r="C907" t="s">
        <v>31</v>
      </c>
      <c r="D907" t="s">
        <v>15</v>
      </c>
      <c r="E907" t="s">
        <v>16</v>
      </c>
      <c r="F907" t="s">
        <v>25</v>
      </c>
      <c r="G907" t="s">
        <v>40</v>
      </c>
      <c r="H907" t="s">
        <v>41</v>
      </c>
      <c r="I907">
        <v>36530</v>
      </c>
      <c r="J907">
        <v>3</v>
      </c>
      <c r="K907" t="s">
        <v>28</v>
      </c>
      <c r="L907">
        <v>7548.82</v>
      </c>
    </row>
    <row r="908" spans="1:12" x14ac:dyDescent="0.3">
      <c r="A908" t="s">
        <v>1300</v>
      </c>
      <c r="B908" t="s">
        <v>886</v>
      </c>
      <c r="C908" t="s">
        <v>44</v>
      </c>
      <c r="D908" t="s">
        <v>23</v>
      </c>
      <c r="E908" t="s">
        <v>129</v>
      </c>
      <c r="F908" t="s">
        <v>46</v>
      </c>
      <c r="G908" t="s">
        <v>47</v>
      </c>
      <c r="H908" t="s">
        <v>48</v>
      </c>
      <c r="I908">
        <v>11177</v>
      </c>
      <c r="J908">
        <v>2</v>
      </c>
      <c r="K908" t="s">
        <v>49</v>
      </c>
      <c r="L908">
        <v>2912.49</v>
      </c>
    </row>
    <row r="909" spans="1:12" x14ac:dyDescent="0.3">
      <c r="A909" t="s">
        <v>1301</v>
      </c>
      <c r="B909" t="s">
        <v>539</v>
      </c>
      <c r="C909" t="s">
        <v>31</v>
      </c>
      <c r="D909" t="s">
        <v>38</v>
      </c>
      <c r="E909" t="s">
        <v>52</v>
      </c>
      <c r="F909" t="s">
        <v>25</v>
      </c>
      <c r="G909" t="s">
        <v>26</v>
      </c>
      <c r="H909" t="s">
        <v>27</v>
      </c>
      <c r="I909">
        <v>69077</v>
      </c>
      <c r="J909">
        <v>9</v>
      </c>
      <c r="K909" t="s">
        <v>20</v>
      </c>
      <c r="L909">
        <v>6618.56</v>
      </c>
    </row>
    <row r="910" spans="1:12" x14ac:dyDescent="0.3">
      <c r="A910" t="s">
        <v>1302</v>
      </c>
      <c r="B910" t="s">
        <v>786</v>
      </c>
      <c r="C910" t="s">
        <v>121</v>
      </c>
      <c r="D910" t="s">
        <v>23</v>
      </c>
      <c r="E910" t="s">
        <v>129</v>
      </c>
      <c r="F910" t="s">
        <v>46</v>
      </c>
      <c r="G910" t="s">
        <v>87</v>
      </c>
      <c r="H910" t="s">
        <v>88</v>
      </c>
      <c r="I910">
        <v>67492</v>
      </c>
      <c r="J910">
        <v>9</v>
      </c>
      <c r="K910" t="s">
        <v>53</v>
      </c>
      <c r="L910">
        <v>8726.86</v>
      </c>
    </row>
    <row r="911" spans="1:12" x14ac:dyDescent="0.3">
      <c r="A911" t="s">
        <v>1303</v>
      </c>
      <c r="B911" t="s">
        <v>1014</v>
      </c>
      <c r="C911" t="s">
        <v>44</v>
      </c>
      <c r="D911" t="s">
        <v>38</v>
      </c>
      <c r="E911" t="s">
        <v>39</v>
      </c>
      <c r="F911" t="s">
        <v>25</v>
      </c>
      <c r="G911" t="s">
        <v>57</v>
      </c>
      <c r="H911" t="s">
        <v>58</v>
      </c>
      <c r="I911">
        <v>76153</v>
      </c>
      <c r="J911">
        <v>7</v>
      </c>
      <c r="K911" t="s">
        <v>34</v>
      </c>
      <c r="L911">
        <v>17949.5</v>
      </c>
    </row>
    <row r="912" spans="1:12" x14ac:dyDescent="0.3">
      <c r="A912" t="s">
        <v>1304</v>
      </c>
      <c r="B912" t="s">
        <v>1125</v>
      </c>
      <c r="C912" t="s">
        <v>56</v>
      </c>
      <c r="D912" t="s">
        <v>23</v>
      </c>
      <c r="E912" t="s">
        <v>82</v>
      </c>
      <c r="F912" t="s">
        <v>25</v>
      </c>
      <c r="G912" t="s">
        <v>57</v>
      </c>
      <c r="H912" t="s">
        <v>58</v>
      </c>
      <c r="I912">
        <v>19741</v>
      </c>
      <c r="J912">
        <v>6</v>
      </c>
      <c r="K912" t="s">
        <v>28</v>
      </c>
      <c r="L912">
        <v>3079.91</v>
      </c>
    </row>
    <row r="913" spans="1:12" x14ac:dyDescent="0.3">
      <c r="A913" t="s">
        <v>1305</v>
      </c>
      <c r="B913" t="s">
        <v>654</v>
      </c>
      <c r="C913" t="s">
        <v>72</v>
      </c>
      <c r="D913" t="s">
        <v>32</v>
      </c>
      <c r="E913" t="s">
        <v>45</v>
      </c>
      <c r="F913" t="s">
        <v>25</v>
      </c>
      <c r="G913" t="s">
        <v>40</v>
      </c>
      <c r="H913" t="s">
        <v>41</v>
      </c>
      <c r="I913">
        <v>55042</v>
      </c>
      <c r="J913">
        <v>7</v>
      </c>
      <c r="K913" t="s">
        <v>34</v>
      </c>
      <c r="L913">
        <v>13965.33</v>
      </c>
    </row>
    <row r="914" spans="1:12" x14ac:dyDescent="0.3">
      <c r="A914" t="s">
        <v>1306</v>
      </c>
      <c r="B914" t="s">
        <v>661</v>
      </c>
      <c r="C914" t="s">
        <v>44</v>
      </c>
      <c r="D914" t="s">
        <v>32</v>
      </c>
      <c r="E914" t="s">
        <v>116</v>
      </c>
      <c r="F914" t="s">
        <v>25</v>
      </c>
      <c r="G914" t="s">
        <v>26</v>
      </c>
      <c r="H914" t="s">
        <v>27</v>
      </c>
      <c r="I914">
        <v>63288</v>
      </c>
      <c r="J914">
        <v>1</v>
      </c>
      <c r="K914" t="s">
        <v>53</v>
      </c>
      <c r="L914">
        <v>6876.35</v>
      </c>
    </row>
    <row r="915" spans="1:12" x14ac:dyDescent="0.3">
      <c r="A915" t="s">
        <v>1307</v>
      </c>
      <c r="B915" t="s">
        <v>198</v>
      </c>
      <c r="C915" t="s">
        <v>37</v>
      </c>
      <c r="D915" t="s">
        <v>32</v>
      </c>
      <c r="E915" t="s">
        <v>116</v>
      </c>
      <c r="F915" t="s">
        <v>46</v>
      </c>
      <c r="G915" t="s">
        <v>87</v>
      </c>
      <c r="H915" t="s">
        <v>88</v>
      </c>
      <c r="I915">
        <v>20598</v>
      </c>
      <c r="J915">
        <v>10</v>
      </c>
      <c r="K915" t="s">
        <v>28</v>
      </c>
      <c r="L915">
        <v>3889.08</v>
      </c>
    </row>
    <row r="916" spans="1:12" x14ac:dyDescent="0.3">
      <c r="A916" t="s">
        <v>1308</v>
      </c>
      <c r="B916" t="s">
        <v>612</v>
      </c>
      <c r="C916" t="s">
        <v>72</v>
      </c>
      <c r="D916" t="s">
        <v>23</v>
      </c>
      <c r="E916" t="s">
        <v>129</v>
      </c>
      <c r="F916" t="s">
        <v>46</v>
      </c>
      <c r="G916" t="s">
        <v>47</v>
      </c>
      <c r="H916" t="s">
        <v>48</v>
      </c>
      <c r="I916">
        <v>74122</v>
      </c>
      <c r="J916">
        <v>3</v>
      </c>
      <c r="K916" t="s">
        <v>49</v>
      </c>
      <c r="L916">
        <v>9609.73</v>
      </c>
    </row>
    <row r="917" spans="1:12" x14ac:dyDescent="0.3">
      <c r="A917" t="s">
        <v>1309</v>
      </c>
      <c r="B917" t="s">
        <v>914</v>
      </c>
      <c r="C917" t="s">
        <v>121</v>
      </c>
      <c r="D917" t="s">
        <v>23</v>
      </c>
      <c r="E917" t="s">
        <v>129</v>
      </c>
      <c r="F917" t="s">
        <v>17</v>
      </c>
      <c r="G917" t="s">
        <v>76</v>
      </c>
      <c r="H917" t="s">
        <v>77</v>
      </c>
      <c r="I917">
        <v>28687</v>
      </c>
      <c r="J917">
        <v>9</v>
      </c>
      <c r="K917" t="s">
        <v>28</v>
      </c>
      <c r="L917">
        <v>5911.61</v>
      </c>
    </row>
    <row r="918" spans="1:12" x14ac:dyDescent="0.3">
      <c r="A918" t="s">
        <v>1310</v>
      </c>
      <c r="B918" t="s">
        <v>1296</v>
      </c>
      <c r="C918" t="s">
        <v>31</v>
      </c>
      <c r="D918" t="s">
        <v>15</v>
      </c>
      <c r="E918" t="s">
        <v>73</v>
      </c>
      <c r="F918" t="s">
        <v>46</v>
      </c>
      <c r="G918" t="s">
        <v>47</v>
      </c>
      <c r="H918" t="s">
        <v>48</v>
      </c>
      <c r="I918">
        <v>66392</v>
      </c>
      <c r="J918">
        <v>5</v>
      </c>
      <c r="K918" t="s">
        <v>53</v>
      </c>
      <c r="L918">
        <v>7242.66</v>
      </c>
    </row>
    <row r="919" spans="1:12" x14ac:dyDescent="0.3">
      <c r="A919" t="s">
        <v>1311</v>
      </c>
      <c r="B919" t="s">
        <v>656</v>
      </c>
      <c r="C919" t="s">
        <v>66</v>
      </c>
      <c r="D919" t="s">
        <v>15</v>
      </c>
      <c r="E919" t="s">
        <v>73</v>
      </c>
      <c r="F919" t="s">
        <v>17</v>
      </c>
      <c r="G919" t="s">
        <v>104</v>
      </c>
      <c r="H919" t="s">
        <v>105</v>
      </c>
      <c r="I919">
        <v>71295</v>
      </c>
      <c r="J919">
        <v>8</v>
      </c>
      <c r="K919" t="s">
        <v>28</v>
      </c>
      <c r="L919">
        <v>9928.27</v>
      </c>
    </row>
    <row r="920" spans="1:12" x14ac:dyDescent="0.3">
      <c r="A920" t="s">
        <v>1312</v>
      </c>
      <c r="B920" t="s">
        <v>234</v>
      </c>
      <c r="C920" t="s">
        <v>72</v>
      </c>
      <c r="D920" t="s">
        <v>32</v>
      </c>
      <c r="E920" t="s">
        <v>33</v>
      </c>
      <c r="F920" t="s">
        <v>25</v>
      </c>
      <c r="G920" t="s">
        <v>57</v>
      </c>
      <c r="H920" t="s">
        <v>58</v>
      </c>
      <c r="I920">
        <v>684</v>
      </c>
      <c r="J920">
        <v>1</v>
      </c>
      <c r="K920" t="s">
        <v>28</v>
      </c>
      <c r="L920">
        <v>130.11000000000001</v>
      </c>
    </row>
    <row r="921" spans="1:12" x14ac:dyDescent="0.3">
      <c r="A921" t="s">
        <v>1313</v>
      </c>
      <c r="B921" t="s">
        <v>656</v>
      </c>
      <c r="C921" t="s">
        <v>56</v>
      </c>
      <c r="D921" t="s">
        <v>32</v>
      </c>
      <c r="E921" t="s">
        <v>45</v>
      </c>
      <c r="F921" t="s">
        <v>25</v>
      </c>
      <c r="G921" t="s">
        <v>57</v>
      </c>
      <c r="H921" t="s">
        <v>58</v>
      </c>
      <c r="I921">
        <v>45652</v>
      </c>
      <c r="J921">
        <v>6</v>
      </c>
      <c r="K921" t="s">
        <v>28</v>
      </c>
      <c r="L921">
        <v>4255.5600000000004</v>
      </c>
    </row>
    <row r="922" spans="1:12" x14ac:dyDescent="0.3">
      <c r="A922" t="s">
        <v>1314</v>
      </c>
      <c r="B922" t="s">
        <v>907</v>
      </c>
      <c r="C922" t="s">
        <v>14</v>
      </c>
      <c r="D922" t="s">
        <v>23</v>
      </c>
      <c r="E922" t="s">
        <v>24</v>
      </c>
      <c r="F922" t="s">
        <v>17</v>
      </c>
      <c r="G922" t="s">
        <v>76</v>
      </c>
      <c r="H922" t="s">
        <v>77</v>
      </c>
      <c r="I922">
        <v>11639</v>
      </c>
      <c r="J922">
        <v>7</v>
      </c>
      <c r="K922" t="s">
        <v>49</v>
      </c>
      <c r="L922">
        <v>1730.2</v>
      </c>
    </row>
    <row r="923" spans="1:12" x14ac:dyDescent="0.3">
      <c r="A923" t="s">
        <v>1315</v>
      </c>
      <c r="B923" t="s">
        <v>107</v>
      </c>
      <c r="C923" t="s">
        <v>72</v>
      </c>
      <c r="D923" t="s">
        <v>32</v>
      </c>
      <c r="E923" t="s">
        <v>116</v>
      </c>
      <c r="F923" t="s">
        <v>17</v>
      </c>
      <c r="G923" t="s">
        <v>18</v>
      </c>
      <c r="H923" t="s">
        <v>19</v>
      </c>
      <c r="I923">
        <v>16576</v>
      </c>
      <c r="J923">
        <v>6</v>
      </c>
      <c r="K923" t="s">
        <v>53</v>
      </c>
      <c r="L923">
        <v>1229.8399999999999</v>
      </c>
    </row>
    <row r="924" spans="1:12" x14ac:dyDescent="0.3">
      <c r="A924" t="s">
        <v>1316</v>
      </c>
      <c r="B924" t="s">
        <v>589</v>
      </c>
      <c r="C924" t="s">
        <v>44</v>
      </c>
      <c r="D924" t="s">
        <v>32</v>
      </c>
      <c r="E924" t="s">
        <v>33</v>
      </c>
      <c r="F924" t="s">
        <v>46</v>
      </c>
      <c r="G924" t="s">
        <v>94</v>
      </c>
      <c r="H924" t="s">
        <v>95</v>
      </c>
      <c r="I924">
        <v>1667</v>
      </c>
      <c r="J924">
        <v>7</v>
      </c>
      <c r="K924" t="s">
        <v>28</v>
      </c>
      <c r="L924">
        <v>418.31</v>
      </c>
    </row>
    <row r="925" spans="1:12" x14ac:dyDescent="0.3">
      <c r="A925" t="s">
        <v>1317</v>
      </c>
      <c r="B925" t="s">
        <v>478</v>
      </c>
      <c r="C925" t="s">
        <v>31</v>
      </c>
      <c r="D925" t="s">
        <v>32</v>
      </c>
      <c r="E925" t="s">
        <v>33</v>
      </c>
      <c r="F925" t="s">
        <v>17</v>
      </c>
      <c r="G925" t="s">
        <v>104</v>
      </c>
      <c r="H925" t="s">
        <v>105</v>
      </c>
      <c r="I925">
        <v>27762</v>
      </c>
      <c r="J925">
        <v>9</v>
      </c>
      <c r="K925" t="s">
        <v>34</v>
      </c>
      <c r="L925">
        <v>4543.0200000000004</v>
      </c>
    </row>
    <row r="926" spans="1:12" x14ac:dyDescent="0.3">
      <c r="A926" t="s">
        <v>1318</v>
      </c>
      <c r="B926" t="s">
        <v>210</v>
      </c>
      <c r="C926" t="s">
        <v>31</v>
      </c>
      <c r="D926" t="s">
        <v>38</v>
      </c>
      <c r="E926" t="s">
        <v>67</v>
      </c>
      <c r="F926" t="s">
        <v>17</v>
      </c>
      <c r="G926" t="s">
        <v>18</v>
      </c>
      <c r="H926" t="s">
        <v>19</v>
      </c>
      <c r="I926">
        <v>45071</v>
      </c>
      <c r="J926">
        <v>2</v>
      </c>
      <c r="K926" t="s">
        <v>20</v>
      </c>
      <c r="L926">
        <v>9978.66</v>
      </c>
    </row>
    <row r="927" spans="1:12" x14ac:dyDescent="0.3">
      <c r="A927" t="s">
        <v>1319</v>
      </c>
      <c r="B927" t="s">
        <v>480</v>
      </c>
      <c r="C927" t="s">
        <v>66</v>
      </c>
      <c r="D927" t="s">
        <v>38</v>
      </c>
      <c r="E927" t="s">
        <v>67</v>
      </c>
      <c r="F927" t="s">
        <v>46</v>
      </c>
      <c r="G927" t="s">
        <v>94</v>
      </c>
      <c r="H927" t="s">
        <v>95</v>
      </c>
      <c r="I927">
        <v>36366</v>
      </c>
      <c r="J927">
        <v>5</v>
      </c>
      <c r="K927" t="s">
        <v>20</v>
      </c>
      <c r="L927">
        <v>4703.95</v>
      </c>
    </row>
    <row r="928" spans="1:12" x14ac:dyDescent="0.3">
      <c r="A928" t="s">
        <v>1320</v>
      </c>
      <c r="B928" t="s">
        <v>485</v>
      </c>
      <c r="C928" t="s">
        <v>31</v>
      </c>
      <c r="D928" t="s">
        <v>32</v>
      </c>
      <c r="E928" t="s">
        <v>45</v>
      </c>
      <c r="F928" t="s">
        <v>25</v>
      </c>
      <c r="G928" t="s">
        <v>26</v>
      </c>
      <c r="H928" t="s">
        <v>27</v>
      </c>
      <c r="I928">
        <v>74723</v>
      </c>
      <c r="J928">
        <v>9</v>
      </c>
      <c r="K928" t="s">
        <v>20</v>
      </c>
      <c r="L928">
        <v>13925.07</v>
      </c>
    </row>
    <row r="929" spans="1:12" x14ac:dyDescent="0.3">
      <c r="A929" t="s">
        <v>1321</v>
      </c>
      <c r="B929" t="s">
        <v>475</v>
      </c>
      <c r="C929" t="s">
        <v>44</v>
      </c>
      <c r="D929" t="s">
        <v>32</v>
      </c>
      <c r="E929" t="s">
        <v>45</v>
      </c>
      <c r="F929" t="s">
        <v>25</v>
      </c>
      <c r="G929" t="s">
        <v>26</v>
      </c>
      <c r="H929" t="s">
        <v>27</v>
      </c>
      <c r="I929">
        <v>30952</v>
      </c>
      <c r="J929">
        <v>4</v>
      </c>
      <c r="K929" t="s">
        <v>49</v>
      </c>
      <c r="L929">
        <v>5637.56</v>
      </c>
    </row>
    <row r="930" spans="1:12" x14ac:dyDescent="0.3">
      <c r="A930" t="s">
        <v>1322</v>
      </c>
      <c r="B930" t="s">
        <v>1323</v>
      </c>
      <c r="C930" t="s">
        <v>72</v>
      </c>
      <c r="D930" t="s">
        <v>15</v>
      </c>
      <c r="E930" t="s">
        <v>16</v>
      </c>
      <c r="F930" t="s">
        <v>46</v>
      </c>
      <c r="G930" t="s">
        <v>87</v>
      </c>
      <c r="H930" t="s">
        <v>88</v>
      </c>
      <c r="I930">
        <v>48631</v>
      </c>
      <c r="J930">
        <v>5</v>
      </c>
      <c r="K930" t="s">
        <v>28</v>
      </c>
      <c r="L930">
        <v>12062.48</v>
      </c>
    </row>
    <row r="931" spans="1:12" x14ac:dyDescent="0.3">
      <c r="A931" t="s">
        <v>1324</v>
      </c>
      <c r="B931" t="s">
        <v>799</v>
      </c>
      <c r="C931" t="s">
        <v>44</v>
      </c>
      <c r="D931" t="s">
        <v>23</v>
      </c>
      <c r="E931" t="s">
        <v>129</v>
      </c>
      <c r="F931" t="s">
        <v>17</v>
      </c>
      <c r="G931" t="s">
        <v>18</v>
      </c>
      <c r="H931" t="s">
        <v>19</v>
      </c>
      <c r="I931">
        <v>36471</v>
      </c>
      <c r="J931">
        <v>3</v>
      </c>
      <c r="K931" t="s">
        <v>53</v>
      </c>
      <c r="L931">
        <v>4549.47</v>
      </c>
    </row>
    <row r="932" spans="1:12" x14ac:dyDescent="0.3">
      <c r="A932" t="s">
        <v>1325</v>
      </c>
      <c r="B932" t="s">
        <v>690</v>
      </c>
      <c r="C932" t="s">
        <v>63</v>
      </c>
      <c r="D932" t="s">
        <v>32</v>
      </c>
      <c r="E932" t="s">
        <v>45</v>
      </c>
      <c r="F932" t="s">
        <v>46</v>
      </c>
      <c r="G932" t="s">
        <v>87</v>
      </c>
      <c r="H932" t="s">
        <v>88</v>
      </c>
      <c r="I932">
        <v>42199</v>
      </c>
      <c r="J932">
        <v>3</v>
      </c>
      <c r="K932" t="s">
        <v>49</v>
      </c>
      <c r="L932">
        <v>5786.81</v>
      </c>
    </row>
    <row r="933" spans="1:12" x14ac:dyDescent="0.3">
      <c r="A933" t="s">
        <v>1326</v>
      </c>
      <c r="B933" t="s">
        <v>502</v>
      </c>
      <c r="C933" t="s">
        <v>56</v>
      </c>
      <c r="D933" t="s">
        <v>38</v>
      </c>
      <c r="E933" t="s">
        <v>67</v>
      </c>
      <c r="F933" t="s">
        <v>25</v>
      </c>
      <c r="G933" t="s">
        <v>57</v>
      </c>
      <c r="H933" t="s">
        <v>58</v>
      </c>
      <c r="I933">
        <v>45657</v>
      </c>
      <c r="J933">
        <v>10</v>
      </c>
      <c r="K933" t="s">
        <v>53</v>
      </c>
      <c r="L933">
        <v>5807.33</v>
      </c>
    </row>
    <row r="934" spans="1:12" x14ac:dyDescent="0.3">
      <c r="A934" t="s">
        <v>1327</v>
      </c>
      <c r="B934" t="s">
        <v>963</v>
      </c>
      <c r="C934" t="s">
        <v>121</v>
      </c>
      <c r="D934" t="s">
        <v>23</v>
      </c>
      <c r="E934" t="s">
        <v>24</v>
      </c>
      <c r="F934" t="s">
        <v>25</v>
      </c>
      <c r="G934" t="s">
        <v>40</v>
      </c>
      <c r="H934" t="s">
        <v>41</v>
      </c>
      <c r="I934">
        <v>60035</v>
      </c>
      <c r="J934">
        <v>8</v>
      </c>
      <c r="K934" t="s">
        <v>20</v>
      </c>
      <c r="L934">
        <v>16092.7</v>
      </c>
    </row>
    <row r="935" spans="1:12" x14ac:dyDescent="0.3">
      <c r="A935" t="s">
        <v>1328</v>
      </c>
      <c r="B935" t="s">
        <v>101</v>
      </c>
      <c r="C935" t="s">
        <v>37</v>
      </c>
      <c r="D935" t="s">
        <v>38</v>
      </c>
      <c r="E935" t="s">
        <v>67</v>
      </c>
      <c r="F935" t="s">
        <v>25</v>
      </c>
      <c r="G935" t="s">
        <v>26</v>
      </c>
      <c r="H935" t="s">
        <v>27</v>
      </c>
      <c r="I935">
        <v>50218</v>
      </c>
      <c r="J935">
        <v>2</v>
      </c>
      <c r="K935" t="s">
        <v>34</v>
      </c>
      <c r="L935">
        <v>8354.6200000000008</v>
      </c>
    </row>
    <row r="936" spans="1:12" x14ac:dyDescent="0.3">
      <c r="A936" t="s">
        <v>1329</v>
      </c>
      <c r="B936" t="s">
        <v>413</v>
      </c>
      <c r="C936" t="s">
        <v>66</v>
      </c>
      <c r="D936" t="s">
        <v>32</v>
      </c>
      <c r="E936" t="s">
        <v>33</v>
      </c>
      <c r="F936" t="s">
        <v>46</v>
      </c>
      <c r="G936" t="s">
        <v>94</v>
      </c>
      <c r="H936" t="s">
        <v>95</v>
      </c>
      <c r="I936">
        <v>53688</v>
      </c>
      <c r="J936">
        <v>3</v>
      </c>
      <c r="K936" t="s">
        <v>28</v>
      </c>
      <c r="L936">
        <v>3864.2</v>
      </c>
    </row>
    <row r="937" spans="1:12" x14ac:dyDescent="0.3">
      <c r="A937" t="s">
        <v>1330</v>
      </c>
      <c r="B937" t="s">
        <v>1331</v>
      </c>
      <c r="C937" t="s">
        <v>121</v>
      </c>
      <c r="D937" t="s">
        <v>15</v>
      </c>
      <c r="E937" t="s">
        <v>16</v>
      </c>
      <c r="F937" t="s">
        <v>46</v>
      </c>
      <c r="G937" t="s">
        <v>47</v>
      </c>
      <c r="H937" t="s">
        <v>48</v>
      </c>
      <c r="I937">
        <v>42289</v>
      </c>
      <c r="J937">
        <v>8</v>
      </c>
      <c r="K937" t="s">
        <v>49</v>
      </c>
      <c r="L937">
        <v>6916.69</v>
      </c>
    </row>
    <row r="938" spans="1:12" x14ac:dyDescent="0.3">
      <c r="A938" t="s">
        <v>1332</v>
      </c>
      <c r="B938" t="s">
        <v>210</v>
      </c>
      <c r="C938" t="s">
        <v>37</v>
      </c>
      <c r="D938" t="s">
        <v>23</v>
      </c>
      <c r="E938" t="s">
        <v>82</v>
      </c>
      <c r="F938" t="s">
        <v>25</v>
      </c>
      <c r="G938" t="s">
        <v>57</v>
      </c>
      <c r="H938" t="s">
        <v>58</v>
      </c>
      <c r="I938">
        <v>21999</v>
      </c>
      <c r="J938">
        <v>4</v>
      </c>
      <c r="K938" t="s">
        <v>34</v>
      </c>
      <c r="L938">
        <v>4883.8599999999997</v>
      </c>
    </row>
    <row r="939" spans="1:12" x14ac:dyDescent="0.3">
      <c r="A939" t="s">
        <v>1333</v>
      </c>
      <c r="B939" t="s">
        <v>312</v>
      </c>
      <c r="C939" t="s">
        <v>44</v>
      </c>
      <c r="D939" t="s">
        <v>32</v>
      </c>
      <c r="E939" t="s">
        <v>116</v>
      </c>
      <c r="F939" t="s">
        <v>25</v>
      </c>
      <c r="G939" t="s">
        <v>40</v>
      </c>
      <c r="H939" t="s">
        <v>41</v>
      </c>
      <c r="I939">
        <v>64827</v>
      </c>
      <c r="J939">
        <v>3</v>
      </c>
      <c r="K939" t="s">
        <v>34</v>
      </c>
      <c r="L939">
        <v>11605.01</v>
      </c>
    </row>
    <row r="940" spans="1:12" x14ac:dyDescent="0.3">
      <c r="A940" t="s">
        <v>1334</v>
      </c>
      <c r="B940" t="s">
        <v>747</v>
      </c>
      <c r="C940" t="s">
        <v>31</v>
      </c>
      <c r="D940" t="s">
        <v>32</v>
      </c>
      <c r="E940" t="s">
        <v>33</v>
      </c>
      <c r="F940" t="s">
        <v>46</v>
      </c>
      <c r="G940" t="s">
        <v>47</v>
      </c>
      <c r="H940" t="s">
        <v>48</v>
      </c>
      <c r="I940">
        <v>29906</v>
      </c>
      <c r="J940">
        <v>8</v>
      </c>
      <c r="K940" t="s">
        <v>53</v>
      </c>
      <c r="L940">
        <v>4055.2</v>
      </c>
    </row>
    <row r="941" spans="1:12" x14ac:dyDescent="0.3">
      <c r="A941" t="s">
        <v>1335</v>
      </c>
      <c r="B941" t="s">
        <v>287</v>
      </c>
      <c r="C941" t="s">
        <v>66</v>
      </c>
      <c r="D941" t="s">
        <v>38</v>
      </c>
      <c r="E941" t="s">
        <v>67</v>
      </c>
      <c r="F941" t="s">
        <v>46</v>
      </c>
      <c r="G941" t="s">
        <v>87</v>
      </c>
      <c r="H941" t="s">
        <v>88</v>
      </c>
      <c r="I941">
        <v>14020</v>
      </c>
      <c r="J941">
        <v>3</v>
      </c>
      <c r="K941" t="s">
        <v>34</v>
      </c>
      <c r="L941">
        <v>2839.35</v>
      </c>
    </row>
    <row r="942" spans="1:12" x14ac:dyDescent="0.3">
      <c r="A942" t="s">
        <v>1336</v>
      </c>
      <c r="B942" t="s">
        <v>131</v>
      </c>
      <c r="C942" t="s">
        <v>37</v>
      </c>
      <c r="D942" t="s">
        <v>15</v>
      </c>
      <c r="E942" t="s">
        <v>154</v>
      </c>
      <c r="F942" t="s">
        <v>25</v>
      </c>
      <c r="G942" t="s">
        <v>26</v>
      </c>
      <c r="H942" t="s">
        <v>27</v>
      </c>
      <c r="I942">
        <v>69085</v>
      </c>
      <c r="J942">
        <v>8</v>
      </c>
      <c r="K942" t="s">
        <v>20</v>
      </c>
      <c r="L942">
        <v>14009.84</v>
      </c>
    </row>
    <row r="943" spans="1:12" x14ac:dyDescent="0.3">
      <c r="A943" t="s">
        <v>1337</v>
      </c>
      <c r="B943" t="s">
        <v>93</v>
      </c>
      <c r="C943" t="s">
        <v>66</v>
      </c>
      <c r="D943" t="s">
        <v>15</v>
      </c>
      <c r="E943" t="s">
        <v>73</v>
      </c>
      <c r="F943" t="s">
        <v>25</v>
      </c>
      <c r="G943" t="s">
        <v>26</v>
      </c>
      <c r="H943" t="s">
        <v>27</v>
      </c>
      <c r="I943">
        <v>2370</v>
      </c>
      <c r="J943">
        <v>2</v>
      </c>
      <c r="K943" t="s">
        <v>20</v>
      </c>
      <c r="L943">
        <v>422.64</v>
      </c>
    </row>
    <row r="944" spans="1:12" x14ac:dyDescent="0.3">
      <c r="A944" t="s">
        <v>1338</v>
      </c>
      <c r="B944" t="s">
        <v>164</v>
      </c>
      <c r="C944" t="s">
        <v>31</v>
      </c>
      <c r="D944" t="s">
        <v>23</v>
      </c>
      <c r="E944" t="s">
        <v>82</v>
      </c>
      <c r="F944" t="s">
        <v>46</v>
      </c>
      <c r="G944" t="s">
        <v>94</v>
      </c>
      <c r="H944" t="s">
        <v>95</v>
      </c>
      <c r="I944">
        <v>54999</v>
      </c>
      <c r="J944">
        <v>10</v>
      </c>
      <c r="K944" t="s">
        <v>20</v>
      </c>
      <c r="L944">
        <v>12957.84</v>
      </c>
    </row>
    <row r="945" spans="1:12" x14ac:dyDescent="0.3">
      <c r="A945" t="s">
        <v>1339</v>
      </c>
      <c r="B945" t="s">
        <v>184</v>
      </c>
      <c r="C945" t="s">
        <v>44</v>
      </c>
      <c r="D945" t="s">
        <v>32</v>
      </c>
      <c r="E945" t="s">
        <v>116</v>
      </c>
      <c r="F945" t="s">
        <v>25</v>
      </c>
      <c r="G945" t="s">
        <v>57</v>
      </c>
      <c r="H945" t="s">
        <v>58</v>
      </c>
      <c r="I945">
        <v>23511</v>
      </c>
      <c r="J945">
        <v>5</v>
      </c>
      <c r="K945" t="s">
        <v>28</v>
      </c>
      <c r="L945">
        <v>3177.07</v>
      </c>
    </row>
    <row r="946" spans="1:12" x14ac:dyDescent="0.3">
      <c r="A946" t="s">
        <v>1340</v>
      </c>
      <c r="B946" t="s">
        <v>79</v>
      </c>
      <c r="C946" t="s">
        <v>72</v>
      </c>
      <c r="D946" t="s">
        <v>15</v>
      </c>
      <c r="E946" t="s">
        <v>16</v>
      </c>
      <c r="F946" t="s">
        <v>46</v>
      </c>
      <c r="G946" t="s">
        <v>94</v>
      </c>
      <c r="H946" t="s">
        <v>95</v>
      </c>
      <c r="I946">
        <v>63720</v>
      </c>
      <c r="J946">
        <v>7</v>
      </c>
      <c r="K946" t="s">
        <v>20</v>
      </c>
      <c r="L946">
        <v>17790.43</v>
      </c>
    </row>
    <row r="947" spans="1:12" x14ac:dyDescent="0.3">
      <c r="A947" t="s">
        <v>1341</v>
      </c>
      <c r="B947" t="s">
        <v>828</v>
      </c>
      <c r="C947" t="s">
        <v>44</v>
      </c>
      <c r="D947" t="s">
        <v>15</v>
      </c>
      <c r="E947" t="s">
        <v>154</v>
      </c>
      <c r="F947" t="s">
        <v>17</v>
      </c>
      <c r="G947" t="s">
        <v>104</v>
      </c>
      <c r="H947" t="s">
        <v>105</v>
      </c>
      <c r="I947">
        <v>65234</v>
      </c>
      <c r="J947">
        <v>6</v>
      </c>
      <c r="K947" t="s">
        <v>49</v>
      </c>
      <c r="L947">
        <v>9582.86</v>
      </c>
    </row>
    <row r="948" spans="1:12" x14ac:dyDescent="0.3">
      <c r="A948" t="s">
        <v>1342</v>
      </c>
      <c r="B948" t="s">
        <v>439</v>
      </c>
      <c r="C948" t="s">
        <v>37</v>
      </c>
      <c r="D948" t="s">
        <v>23</v>
      </c>
      <c r="E948" t="s">
        <v>24</v>
      </c>
      <c r="F948" t="s">
        <v>46</v>
      </c>
      <c r="G948" t="s">
        <v>47</v>
      </c>
      <c r="H948" t="s">
        <v>48</v>
      </c>
      <c r="I948">
        <v>69868</v>
      </c>
      <c r="J948">
        <v>7</v>
      </c>
      <c r="K948" t="s">
        <v>53</v>
      </c>
      <c r="L948">
        <v>8834.7800000000007</v>
      </c>
    </row>
    <row r="949" spans="1:12" x14ac:dyDescent="0.3">
      <c r="A949" t="s">
        <v>1343</v>
      </c>
      <c r="B949" t="s">
        <v>111</v>
      </c>
      <c r="C949" t="s">
        <v>56</v>
      </c>
      <c r="D949" t="s">
        <v>15</v>
      </c>
      <c r="E949" t="s">
        <v>73</v>
      </c>
      <c r="F949" t="s">
        <v>25</v>
      </c>
      <c r="G949" t="s">
        <v>40</v>
      </c>
      <c r="H949" t="s">
        <v>41</v>
      </c>
      <c r="I949">
        <v>66037</v>
      </c>
      <c r="J949">
        <v>4</v>
      </c>
      <c r="K949" t="s">
        <v>34</v>
      </c>
      <c r="L949">
        <v>14721.6</v>
      </c>
    </row>
    <row r="950" spans="1:12" x14ac:dyDescent="0.3">
      <c r="A950" t="s">
        <v>1344</v>
      </c>
      <c r="B950" t="s">
        <v>79</v>
      </c>
      <c r="C950" t="s">
        <v>44</v>
      </c>
      <c r="D950" t="s">
        <v>38</v>
      </c>
      <c r="E950" t="s">
        <v>52</v>
      </c>
      <c r="F950" t="s">
        <v>17</v>
      </c>
      <c r="G950" t="s">
        <v>76</v>
      </c>
      <c r="H950" t="s">
        <v>77</v>
      </c>
      <c r="I950">
        <v>49875</v>
      </c>
      <c r="J950">
        <v>8</v>
      </c>
      <c r="K950" t="s">
        <v>20</v>
      </c>
      <c r="L950">
        <v>6700.43</v>
      </c>
    </row>
    <row r="951" spans="1:12" x14ac:dyDescent="0.3">
      <c r="A951" t="s">
        <v>1345</v>
      </c>
      <c r="B951" t="s">
        <v>99</v>
      </c>
      <c r="C951" t="s">
        <v>66</v>
      </c>
      <c r="D951" t="s">
        <v>15</v>
      </c>
      <c r="E951" t="s">
        <v>16</v>
      </c>
      <c r="F951" t="s">
        <v>46</v>
      </c>
      <c r="G951" t="s">
        <v>47</v>
      </c>
      <c r="H951" t="s">
        <v>48</v>
      </c>
      <c r="I951">
        <v>75436</v>
      </c>
      <c r="J951">
        <v>5</v>
      </c>
      <c r="K951" t="s">
        <v>34</v>
      </c>
      <c r="L951">
        <v>13533.75</v>
      </c>
    </row>
    <row r="952" spans="1:12" x14ac:dyDescent="0.3">
      <c r="A952" t="s">
        <v>1346</v>
      </c>
      <c r="B952" t="s">
        <v>36</v>
      </c>
      <c r="C952" t="s">
        <v>72</v>
      </c>
      <c r="D952" t="s">
        <v>32</v>
      </c>
      <c r="E952" t="s">
        <v>45</v>
      </c>
      <c r="F952" t="s">
        <v>17</v>
      </c>
      <c r="G952" t="s">
        <v>76</v>
      </c>
      <c r="H952" t="s">
        <v>77</v>
      </c>
      <c r="I952">
        <v>63771</v>
      </c>
      <c r="J952">
        <v>7</v>
      </c>
      <c r="K952" t="s">
        <v>34</v>
      </c>
      <c r="L952">
        <v>11555.6</v>
      </c>
    </row>
    <row r="953" spans="1:12" x14ac:dyDescent="0.3">
      <c r="A953" t="s">
        <v>1347</v>
      </c>
      <c r="B953" t="s">
        <v>631</v>
      </c>
      <c r="C953" t="s">
        <v>66</v>
      </c>
      <c r="D953" t="s">
        <v>32</v>
      </c>
      <c r="E953" t="s">
        <v>116</v>
      </c>
      <c r="F953" t="s">
        <v>17</v>
      </c>
      <c r="G953" t="s">
        <v>76</v>
      </c>
      <c r="H953" t="s">
        <v>77</v>
      </c>
      <c r="I953">
        <v>52427</v>
      </c>
      <c r="J953">
        <v>1</v>
      </c>
      <c r="K953" t="s">
        <v>20</v>
      </c>
      <c r="L953">
        <v>7621.91</v>
      </c>
    </row>
    <row r="954" spans="1:12" x14ac:dyDescent="0.3">
      <c r="A954" t="s">
        <v>1348</v>
      </c>
      <c r="B954" t="s">
        <v>139</v>
      </c>
      <c r="C954" t="s">
        <v>63</v>
      </c>
      <c r="D954" t="s">
        <v>23</v>
      </c>
      <c r="E954" t="s">
        <v>129</v>
      </c>
      <c r="F954" t="s">
        <v>17</v>
      </c>
      <c r="G954" t="s">
        <v>104</v>
      </c>
      <c r="H954" t="s">
        <v>105</v>
      </c>
      <c r="I954">
        <v>72053</v>
      </c>
      <c r="J954">
        <v>10</v>
      </c>
      <c r="K954" t="s">
        <v>20</v>
      </c>
      <c r="L954">
        <v>14841.49</v>
      </c>
    </row>
    <row r="955" spans="1:12" x14ac:dyDescent="0.3">
      <c r="A955" t="s">
        <v>1349</v>
      </c>
      <c r="B955" t="s">
        <v>512</v>
      </c>
      <c r="C955" t="s">
        <v>37</v>
      </c>
      <c r="D955" t="s">
        <v>32</v>
      </c>
      <c r="E955" t="s">
        <v>33</v>
      </c>
      <c r="F955" t="s">
        <v>46</v>
      </c>
      <c r="G955" t="s">
        <v>94</v>
      </c>
      <c r="H955" t="s">
        <v>95</v>
      </c>
      <c r="I955">
        <v>68365</v>
      </c>
      <c r="J955">
        <v>10</v>
      </c>
      <c r="K955" t="s">
        <v>49</v>
      </c>
      <c r="L955">
        <v>14320.9</v>
      </c>
    </row>
    <row r="956" spans="1:12" x14ac:dyDescent="0.3">
      <c r="A956" t="s">
        <v>1350</v>
      </c>
      <c r="B956" t="s">
        <v>413</v>
      </c>
      <c r="C956" t="s">
        <v>56</v>
      </c>
      <c r="D956" t="s">
        <v>15</v>
      </c>
      <c r="E956" t="s">
        <v>73</v>
      </c>
      <c r="F956" t="s">
        <v>25</v>
      </c>
      <c r="G956" t="s">
        <v>26</v>
      </c>
      <c r="H956" t="s">
        <v>27</v>
      </c>
      <c r="I956">
        <v>70144</v>
      </c>
      <c r="J956">
        <v>7</v>
      </c>
      <c r="K956" t="s">
        <v>28</v>
      </c>
      <c r="L956">
        <v>14355.95</v>
      </c>
    </row>
    <row r="957" spans="1:12" x14ac:dyDescent="0.3">
      <c r="A957" t="s">
        <v>1351</v>
      </c>
      <c r="B957" t="s">
        <v>314</v>
      </c>
      <c r="C957" t="s">
        <v>14</v>
      </c>
      <c r="D957" t="s">
        <v>23</v>
      </c>
      <c r="E957" t="s">
        <v>82</v>
      </c>
      <c r="F957" t="s">
        <v>46</v>
      </c>
      <c r="G957" t="s">
        <v>47</v>
      </c>
      <c r="H957" t="s">
        <v>48</v>
      </c>
      <c r="I957">
        <v>47756</v>
      </c>
      <c r="J957">
        <v>1</v>
      </c>
      <c r="K957" t="s">
        <v>20</v>
      </c>
      <c r="L957">
        <v>8475.08</v>
      </c>
    </row>
    <row r="958" spans="1:12" x14ac:dyDescent="0.3">
      <c r="A958" t="s">
        <v>1352</v>
      </c>
      <c r="B958" t="s">
        <v>725</v>
      </c>
      <c r="C958" t="s">
        <v>31</v>
      </c>
      <c r="D958" t="s">
        <v>15</v>
      </c>
      <c r="E958" t="s">
        <v>154</v>
      </c>
      <c r="F958" t="s">
        <v>17</v>
      </c>
      <c r="G958" t="s">
        <v>18</v>
      </c>
      <c r="H958" t="s">
        <v>19</v>
      </c>
      <c r="I958">
        <v>75619</v>
      </c>
      <c r="J958">
        <v>9</v>
      </c>
      <c r="K958" t="s">
        <v>28</v>
      </c>
      <c r="L958">
        <v>10115.549999999999</v>
      </c>
    </row>
    <row r="959" spans="1:12" x14ac:dyDescent="0.3">
      <c r="A959" t="s">
        <v>1353</v>
      </c>
      <c r="B959" t="s">
        <v>1354</v>
      </c>
      <c r="C959" t="s">
        <v>72</v>
      </c>
      <c r="D959" t="s">
        <v>38</v>
      </c>
      <c r="E959" t="s">
        <v>39</v>
      </c>
      <c r="F959" t="s">
        <v>46</v>
      </c>
      <c r="G959" t="s">
        <v>47</v>
      </c>
      <c r="H959" t="s">
        <v>48</v>
      </c>
      <c r="I959">
        <v>67091</v>
      </c>
      <c r="J959">
        <v>9</v>
      </c>
      <c r="K959" t="s">
        <v>49</v>
      </c>
      <c r="L959">
        <v>10759.21</v>
      </c>
    </row>
    <row r="960" spans="1:12" x14ac:dyDescent="0.3">
      <c r="A960" t="s">
        <v>1355</v>
      </c>
      <c r="B960" t="s">
        <v>247</v>
      </c>
      <c r="C960" t="s">
        <v>56</v>
      </c>
      <c r="D960" t="s">
        <v>38</v>
      </c>
      <c r="E960" t="s">
        <v>39</v>
      </c>
      <c r="F960" t="s">
        <v>17</v>
      </c>
      <c r="G960" t="s">
        <v>104</v>
      </c>
      <c r="H960" t="s">
        <v>105</v>
      </c>
      <c r="I960">
        <v>13919</v>
      </c>
      <c r="J960">
        <v>1</v>
      </c>
      <c r="K960" t="s">
        <v>53</v>
      </c>
      <c r="L960">
        <v>1435.2</v>
      </c>
    </row>
    <row r="961" spans="1:12" x14ac:dyDescent="0.3">
      <c r="A961" t="s">
        <v>1356</v>
      </c>
      <c r="B961" t="s">
        <v>238</v>
      </c>
      <c r="C961" t="s">
        <v>37</v>
      </c>
      <c r="D961" t="s">
        <v>15</v>
      </c>
      <c r="E961" t="s">
        <v>16</v>
      </c>
      <c r="F961" t="s">
        <v>46</v>
      </c>
      <c r="G961" t="s">
        <v>47</v>
      </c>
      <c r="H961" t="s">
        <v>48</v>
      </c>
      <c r="I961">
        <v>71824</v>
      </c>
      <c r="J961">
        <v>6</v>
      </c>
      <c r="K961" t="s">
        <v>20</v>
      </c>
      <c r="L961">
        <v>13012.68</v>
      </c>
    </row>
    <row r="962" spans="1:12" x14ac:dyDescent="0.3">
      <c r="A962" t="s">
        <v>1357</v>
      </c>
      <c r="B962" t="s">
        <v>202</v>
      </c>
      <c r="C962" t="s">
        <v>56</v>
      </c>
      <c r="D962" t="s">
        <v>23</v>
      </c>
      <c r="E962" t="s">
        <v>82</v>
      </c>
      <c r="F962" t="s">
        <v>46</v>
      </c>
      <c r="G962" t="s">
        <v>94</v>
      </c>
      <c r="H962" t="s">
        <v>95</v>
      </c>
      <c r="I962">
        <v>10398</v>
      </c>
      <c r="J962">
        <v>9</v>
      </c>
      <c r="K962" t="s">
        <v>53</v>
      </c>
      <c r="L962">
        <v>2091.16</v>
      </c>
    </row>
    <row r="963" spans="1:12" x14ac:dyDescent="0.3">
      <c r="A963" t="s">
        <v>1358</v>
      </c>
      <c r="B963" t="s">
        <v>564</v>
      </c>
      <c r="C963" t="s">
        <v>56</v>
      </c>
      <c r="D963" t="s">
        <v>23</v>
      </c>
      <c r="E963" t="s">
        <v>82</v>
      </c>
      <c r="F963" t="s">
        <v>25</v>
      </c>
      <c r="G963" t="s">
        <v>26</v>
      </c>
      <c r="H963" t="s">
        <v>27</v>
      </c>
      <c r="I963">
        <v>657</v>
      </c>
      <c r="J963">
        <v>1</v>
      </c>
      <c r="K963" t="s">
        <v>53</v>
      </c>
      <c r="L963">
        <v>164.06</v>
      </c>
    </row>
    <row r="964" spans="1:12" x14ac:dyDescent="0.3">
      <c r="A964" t="s">
        <v>1359</v>
      </c>
      <c r="B964" t="s">
        <v>268</v>
      </c>
      <c r="C964" t="s">
        <v>56</v>
      </c>
      <c r="D964" t="s">
        <v>32</v>
      </c>
      <c r="E964" t="s">
        <v>116</v>
      </c>
      <c r="F964" t="s">
        <v>25</v>
      </c>
      <c r="G964" t="s">
        <v>40</v>
      </c>
      <c r="H964" t="s">
        <v>41</v>
      </c>
      <c r="I964">
        <v>62007</v>
      </c>
      <c r="J964">
        <v>5</v>
      </c>
      <c r="K964" t="s">
        <v>49</v>
      </c>
      <c r="L964">
        <v>5396.29</v>
      </c>
    </row>
    <row r="965" spans="1:12" x14ac:dyDescent="0.3">
      <c r="A965" t="s">
        <v>1360</v>
      </c>
      <c r="B965" t="s">
        <v>583</v>
      </c>
      <c r="C965" t="s">
        <v>72</v>
      </c>
      <c r="D965" t="s">
        <v>23</v>
      </c>
      <c r="E965" t="s">
        <v>129</v>
      </c>
      <c r="F965" t="s">
        <v>46</v>
      </c>
      <c r="G965" t="s">
        <v>47</v>
      </c>
      <c r="H965" t="s">
        <v>48</v>
      </c>
      <c r="I965">
        <v>6035</v>
      </c>
      <c r="J965">
        <v>5</v>
      </c>
      <c r="K965" t="s">
        <v>28</v>
      </c>
      <c r="L965">
        <v>803.09</v>
      </c>
    </row>
    <row r="966" spans="1:12" x14ac:dyDescent="0.3">
      <c r="A966" t="s">
        <v>1361</v>
      </c>
      <c r="B966" t="s">
        <v>111</v>
      </c>
      <c r="C966" t="s">
        <v>37</v>
      </c>
      <c r="D966" t="s">
        <v>15</v>
      </c>
      <c r="E966" t="s">
        <v>16</v>
      </c>
      <c r="F966" t="s">
        <v>46</v>
      </c>
      <c r="G966" t="s">
        <v>94</v>
      </c>
      <c r="H966" t="s">
        <v>95</v>
      </c>
      <c r="I966">
        <v>34647</v>
      </c>
      <c r="J966">
        <v>6</v>
      </c>
      <c r="K966" t="s">
        <v>34</v>
      </c>
      <c r="L966">
        <v>8457.8799999999992</v>
      </c>
    </row>
    <row r="967" spans="1:12" x14ac:dyDescent="0.3">
      <c r="A967" t="s">
        <v>1362</v>
      </c>
      <c r="B967" t="s">
        <v>62</v>
      </c>
      <c r="C967" t="s">
        <v>37</v>
      </c>
      <c r="D967" t="s">
        <v>32</v>
      </c>
      <c r="E967" t="s">
        <v>33</v>
      </c>
      <c r="F967" t="s">
        <v>25</v>
      </c>
      <c r="G967" t="s">
        <v>26</v>
      </c>
      <c r="H967" t="s">
        <v>27</v>
      </c>
      <c r="I967">
        <v>48228</v>
      </c>
      <c r="J967">
        <v>6</v>
      </c>
      <c r="K967" t="s">
        <v>28</v>
      </c>
      <c r="L967">
        <v>9207.67</v>
      </c>
    </row>
    <row r="968" spans="1:12" x14ac:dyDescent="0.3">
      <c r="A968" t="s">
        <v>1363</v>
      </c>
      <c r="B968" t="s">
        <v>151</v>
      </c>
      <c r="C968" t="s">
        <v>31</v>
      </c>
      <c r="D968" t="s">
        <v>15</v>
      </c>
      <c r="E968" t="s">
        <v>73</v>
      </c>
      <c r="F968" t="s">
        <v>17</v>
      </c>
      <c r="G968" t="s">
        <v>18</v>
      </c>
      <c r="H968" t="s">
        <v>19</v>
      </c>
      <c r="I968">
        <v>73303</v>
      </c>
      <c r="J968">
        <v>5</v>
      </c>
      <c r="K968" t="s">
        <v>20</v>
      </c>
      <c r="L968">
        <v>20156.29</v>
      </c>
    </row>
    <row r="969" spans="1:12" x14ac:dyDescent="0.3">
      <c r="A969" t="s">
        <v>1364</v>
      </c>
      <c r="B969" t="s">
        <v>375</v>
      </c>
      <c r="C969" t="s">
        <v>121</v>
      </c>
      <c r="D969" t="s">
        <v>32</v>
      </c>
      <c r="E969" t="s">
        <v>116</v>
      </c>
      <c r="F969" t="s">
        <v>17</v>
      </c>
      <c r="G969" t="s">
        <v>76</v>
      </c>
      <c r="H969" t="s">
        <v>77</v>
      </c>
      <c r="I969">
        <v>70913</v>
      </c>
      <c r="J969">
        <v>1</v>
      </c>
      <c r="K969" t="s">
        <v>49</v>
      </c>
      <c r="L969">
        <v>5631.11</v>
      </c>
    </row>
    <row r="970" spans="1:12" x14ac:dyDescent="0.3">
      <c r="A970" t="s">
        <v>1365</v>
      </c>
      <c r="B970" t="s">
        <v>450</v>
      </c>
      <c r="C970" t="s">
        <v>72</v>
      </c>
      <c r="D970" t="s">
        <v>38</v>
      </c>
      <c r="E970" t="s">
        <v>67</v>
      </c>
      <c r="F970" t="s">
        <v>25</v>
      </c>
      <c r="G970" t="s">
        <v>40</v>
      </c>
      <c r="H970" t="s">
        <v>41</v>
      </c>
      <c r="I970">
        <v>39417</v>
      </c>
      <c r="J970">
        <v>6</v>
      </c>
      <c r="K970" t="s">
        <v>28</v>
      </c>
      <c r="L970">
        <v>8509.9699999999993</v>
      </c>
    </row>
    <row r="971" spans="1:12" x14ac:dyDescent="0.3">
      <c r="A971" t="s">
        <v>1366</v>
      </c>
      <c r="B971" t="s">
        <v>287</v>
      </c>
      <c r="C971" t="s">
        <v>63</v>
      </c>
      <c r="D971" t="s">
        <v>38</v>
      </c>
      <c r="E971" t="s">
        <v>39</v>
      </c>
      <c r="F971" t="s">
        <v>25</v>
      </c>
      <c r="G971" t="s">
        <v>26</v>
      </c>
      <c r="H971" t="s">
        <v>27</v>
      </c>
      <c r="I971">
        <v>33029</v>
      </c>
      <c r="J971">
        <v>4</v>
      </c>
      <c r="K971" t="s">
        <v>28</v>
      </c>
      <c r="L971">
        <v>7881.26</v>
      </c>
    </row>
    <row r="972" spans="1:12" x14ac:dyDescent="0.3">
      <c r="A972" t="s">
        <v>1367</v>
      </c>
      <c r="B972" t="s">
        <v>687</v>
      </c>
      <c r="C972" t="s">
        <v>37</v>
      </c>
      <c r="D972" t="s">
        <v>23</v>
      </c>
      <c r="E972" t="s">
        <v>129</v>
      </c>
      <c r="F972" t="s">
        <v>25</v>
      </c>
      <c r="G972" t="s">
        <v>57</v>
      </c>
      <c r="H972" t="s">
        <v>58</v>
      </c>
      <c r="I972">
        <v>9367</v>
      </c>
      <c r="J972">
        <v>7</v>
      </c>
      <c r="K972" t="s">
        <v>49</v>
      </c>
      <c r="L972">
        <v>2212.98</v>
      </c>
    </row>
    <row r="973" spans="1:12" x14ac:dyDescent="0.3">
      <c r="A973" t="s">
        <v>1368</v>
      </c>
      <c r="B973" t="s">
        <v>277</v>
      </c>
      <c r="C973" t="s">
        <v>37</v>
      </c>
      <c r="D973" t="s">
        <v>32</v>
      </c>
      <c r="E973" t="s">
        <v>33</v>
      </c>
      <c r="F973" t="s">
        <v>46</v>
      </c>
      <c r="G973" t="s">
        <v>47</v>
      </c>
      <c r="H973" t="s">
        <v>48</v>
      </c>
      <c r="I973">
        <v>70955</v>
      </c>
      <c r="J973">
        <v>4</v>
      </c>
      <c r="K973" t="s">
        <v>34</v>
      </c>
      <c r="L973">
        <v>11398.53</v>
      </c>
    </row>
    <row r="974" spans="1:12" x14ac:dyDescent="0.3">
      <c r="A974" t="s">
        <v>1369</v>
      </c>
      <c r="B974" t="s">
        <v>1370</v>
      </c>
      <c r="C974" t="s">
        <v>31</v>
      </c>
      <c r="D974" t="s">
        <v>23</v>
      </c>
      <c r="E974" t="s">
        <v>24</v>
      </c>
      <c r="F974" t="s">
        <v>25</v>
      </c>
      <c r="G974" t="s">
        <v>26</v>
      </c>
      <c r="H974" t="s">
        <v>27</v>
      </c>
      <c r="I974">
        <v>79415</v>
      </c>
      <c r="J974">
        <v>9</v>
      </c>
      <c r="K974" t="s">
        <v>49</v>
      </c>
      <c r="L974">
        <v>6835.99</v>
      </c>
    </row>
    <row r="975" spans="1:12" x14ac:dyDescent="0.3">
      <c r="A975" t="s">
        <v>1371</v>
      </c>
      <c r="B975" t="s">
        <v>786</v>
      </c>
      <c r="C975" t="s">
        <v>56</v>
      </c>
      <c r="D975" t="s">
        <v>23</v>
      </c>
      <c r="E975" t="s">
        <v>24</v>
      </c>
      <c r="F975" t="s">
        <v>17</v>
      </c>
      <c r="G975" t="s">
        <v>76</v>
      </c>
      <c r="H975" t="s">
        <v>77</v>
      </c>
      <c r="I975">
        <v>62179</v>
      </c>
      <c r="J975">
        <v>1</v>
      </c>
      <c r="K975" t="s">
        <v>49</v>
      </c>
      <c r="L975">
        <v>13108.88</v>
      </c>
    </row>
    <row r="976" spans="1:12" x14ac:dyDescent="0.3">
      <c r="A976" t="s">
        <v>1372</v>
      </c>
      <c r="B976" t="s">
        <v>1373</v>
      </c>
      <c r="C976" t="s">
        <v>44</v>
      </c>
      <c r="D976" t="s">
        <v>32</v>
      </c>
      <c r="E976" t="s">
        <v>45</v>
      </c>
      <c r="F976" t="s">
        <v>46</v>
      </c>
      <c r="G976" t="s">
        <v>47</v>
      </c>
      <c r="H976" t="s">
        <v>48</v>
      </c>
      <c r="I976">
        <v>74705</v>
      </c>
      <c r="J976">
        <v>2</v>
      </c>
      <c r="K976" t="s">
        <v>49</v>
      </c>
      <c r="L976">
        <v>7648.16</v>
      </c>
    </row>
    <row r="977" spans="1:12" x14ac:dyDescent="0.3">
      <c r="A977" t="s">
        <v>1374</v>
      </c>
      <c r="B977" t="s">
        <v>356</v>
      </c>
      <c r="C977" t="s">
        <v>72</v>
      </c>
      <c r="D977" t="s">
        <v>15</v>
      </c>
      <c r="E977" t="s">
        <v>154</v>
      </c>
      <c r="F977" t="s">
        <v>46</v>
      </c>
      <c r="G977" t="s">
        <v>94</v>
      </c>
      <c r="H977" t="s">
        <v>95</v>
      </c>
      <c r="I977">
        <v>8451</v>
      </c>
      <c r="J977">
        <v>3</v>
      </c>
      <c r="K977" t="s">
        <v>28</v>
      </c>
      <c r="L977">
        <v>925.3</v>
      </c>
    </row>
    <row r="978" spans="1:12" x14ac:dyDescent="0.3">
      <c r="A978" t="s">
        <v>1375</v>
      </c>
      <c r="B978" t="s">
        <v>65</v>
      </c>
      <c r="C978" t="s">
        <v>56</v>
      </c>
      <c r="D978" t="s">
        <v>38</v>
      </c>
      <c r="E978" t="s">
        <v>39</v>
      </c>
      <c r="F978" t="s">
        <v>17</v>
      </c>
      <c r="G978" t="s">
        <v>104</v>
      </c>
      <c r="H978" t="s">
        <v>105</v>
      </c>
      <c r="I978">
        <v>57878</v>
      </c>
      <c r="J978">
        <v>5</v>
      </c>
      <c r="K978" t="s">
        <v>49</v>
      </c>
      <c r="L978">
        <v>5213.0200000000004</v>
      </c>
    </row>
    <row r="979" spans="1:12" x14ac:dyDescent="0.3">
      <c r="A979" t="s">
        <v>1376</v>
      </c>
      <c r="B979" t="s">
        <v>867</v>
      </c>
      <c r="C979" t="s">
        <v>56</v>
      </c>
      <c r="D979" t="s">
        <v>32</v>
      </c>
      <c r="E979" t="s">
        <v>45</v>
      </c>
      <c r="F979" t="s">
        <v>25</v>
      </c>
      <c r="G979" t="s">
        <v>26</v>
      </c>
      <c r="H979" t="s">
        <v>27</v>
      </c>
      <c r="I979">
        <v>66443</v>
      </c>
      <c r="J979">
        <v>3</v>
      </c>
      <c r="K979" t="s">
        <v>28</v>
      </c>
      <c r="L979">
        <v>11653.33</v>
      </c>
    </row>
    <row r="980" spans="1:12" x14ac:dyDescent="0.3">
      <c r="A980" t="s">
        <v>1377</v>
      </c>
      <c r="B980" t="s">
        <v>399</v>
      </c>
      <c r="C980" t="s">
        <v>14</v>
      </c>
      <c r="D980" t="s">
        <v>32</v>
      </c>
      <c r="E980" t="s">
        <v>45</v>
      </c>
      <c r="F980" t="s">
        <v>25</v>
      </c>
      <c r="G980" t="s">
        <v>40</v>
      </c>
      <c r="H980" t="s">
        <v>41</v>
      </c>
      <c r="I980">
        <v>36614</v>
      </c>
      <c r="J980">
        <v>5</v>
      </c>
      <c r="K980" t="s">
        <v>20</v>
      </c>
      <c r="L980">
        <v>5990.07</v>
      </c>
    </row>
    <row r="981" spans="1:12" x14ac:dyDescent="0.3">
      <c r="A981" t="s">
        <v>1378</v>
      </c>
      <c r="B981" t="s">
        <v>594</v>
      </c>
      <c r="C981" t="s">
        <v>31</v>
      </c>
      <c r="D981" t="s">
        <v>23</v>
      </c>
      <c r="E981" t="s">
        <v>129</v>
      </c>
      <c r="F981" t="s">
        <v>25</v>
      </c>
      <c r="G981" t="s">
        <v>40</v>
      </c>
      <c r="H981" t="s">
        <v>41</v>
      </c>
      <c r="I981">
        <v>39350</v>
      </c>
      <c r="J981">
        <v>2</v>
      </c>
      <c r="K981" t="s">
        <v>49</v>
      </c>
      <c r="L981">
        <v>5484.56</v>
      </c>
    </row>
    <row r="982" spans="1:12" x14ac:dyDescent="0.3">
      <c r="A982" t="s">
        <v>1379</v>
      </c>
      <c r="B982" t="s">
        <v>512</v>
      </c>
      <c r="C982" t="s">
        <v>44</v>
      </c>
      <c r="D982" t="s">
        <v>23</v>
      </c>
      <c r="E982" t="s">
        <v>82</v>
      </c>
      <c r="F982" t="s">
        <v>46</v>
      </c>
      <c r="G982" t="s">
        <v>87</v>
      </c>
      <c r="H982" t="s">
        <v>88</v>
      </c>
      <c r="I982">
        <v>33055</v>
      </c>
      <c r="J982">
        <v>3</v>
      </c>
      <c r="K982" t="s">
        <v>28</v>
      </c>
      <c r="L982">
        <v>4927.83</v>
      </c>
    </row>
    <row r="983" spans="1:12" x14ac:dyDescent="0.3">
      <c r="A983" t="s">
        <v>1380</v>
      </c>
      <c r="B983" t="s">
        <v>43</v>
      </c>
      <c r="C983" t="s">
        <v>66</v>
      </c>
      <c r="D983" t="s">
        <v>15</v>
      </c>
      <c r="E983" t="s">
        <v>154</v>
      </c>
      <c r="F983" t="s">
        <v>46</v>
      </c>
      <c r="G983" t="s">
        <v>87</v>
      </c>
      <c r="H983" t="s">
        <v>88</v>
      </c>
      <c r="I983">
        <v>17664</v>
      </c>
      <c r="J983">
        <v>5</v>
      </c>
      <c r="K983" t="s">
        <v>53</v>
      </c>
      <c r="L983">
        <v>2132.61</v>
      </c>
    </row>
    <row r="984" spans="1:12" x14ac:dyDescent="0.3">
      <c r="A984" t="s">
        <v>1381</v>
      </c>
      <c r="B984" t="s">
        <v>230</v>
      </c>
      <c r="C984" t="s">
        <v>56</v>
      </c>
      <c r="D984" t="s">
        <v>23</v>
      </c>
      <c r="E984" t="s">
        <v>82</v>
      </c>
      <c r="F984" t="s">
        <v>17</v>
      </c>
      <c r="G984" t="s">
        <v>104</v>
      </c>
      <c r="H984" t="s">
        <v>105</v>
      </c>
      <c r="I984">
        <v>51096</v>
      </c>
      <c r="J984">
        <v>3</v>
      </c>
      <c r="K984" t="s">
        <v>28</v>
      </c>
      <c r="L984">
        <v>8278.2000000000007</v>
      </c>
    </row>
    <row r="985" spans="1:12" x14ac:dyDescent="0.3">
      <c r="A985" t="s">
        <v>1382</v>
      </c>
      <c r="B985" t="s">
        <v>321</v>
      </c>
      <c r="C985" t="s">
        <v>121</v>
      </c>
      <c r="D985" t="s">
        <v>38</v>
      </c>
      <c r="E985" t="s">
        <v>39</v>
      </c>
      <c r="F985" t="s">
        <v>17</v>
      </c>
      <c r="G985" t="s">
        <v>18</v>
      </c>
      <c r="H985" t="s">
        <v>19</v>
      </c>
      <c r="I985">
        <v>38444</v>
      </c>
      <c r="J985">
        <v>4</v>
      </c>
      <c r="K985" t="s">
        <v>28</v>
      </c>
      <c r="L985">
        <v>6804.69</v>
      </c>
    </row>
    <row r="986" spans="1:12" x14ac:dyDescent="0.3">
      <c r="A986" t="s">
        <v>1383</v>
      </c>
      <c r="B986" t="s">
        <v>332</v>
      </c>
      <c r="C986" t="s">
        <v>44</v>
      </c>
      <c r="D986" t="s">
        <v>23</v>
      </c>
      <c r="E986" t="s">
        <v>129</v>
      </c>
      <c r="F986" t="s">
        <v>17</v>
      </c>
      <c r="G986" t="s">
        <v>76</v>
      </c>
      <c r="H986" t="s">
        <v>77</v>
      </c>
      <c r="I986">
        <v>60025</v>
      </c>
      <c r="J986">
        <v>7</v>
      </c>
      <c r="K986" t="s">
        <v>20</v>
      </c>
      <c r="L986">
        <v>14458.78</v>
      </c>
    </row>
    <row r="987" spans="1:12" x14ac:dyDescent="0.3">
      <c r="A987" t="s">
        <v>1384</v>
      </c>
      <c r="B987" t="s">
        <v>84</v>
      </c>
      <c r="C987" t="s">
        <v>72</v>
      </c>
      <c r="D987" t="s">
        <v>23</v>
      </c>
      <c r="E987" t="s">
        <v>24</v>
      </c>
      <c r="F987" t="s">
        <v>46</v>
      </c>
      <c r="G987" t="s">
        <v>87</v>
      </c>
      <c r="H987" t="s">
        <v>88</v>
      </c>
      <c r="I987">
        <v>70930</v>
      </c>
      <c r="J987">
        <v>2</v>
      </c>
      <c r="K987" t="s">
        <v>20</v>
      </c>
      <c r="L987">
        <v>13704.83</v>
      </c>
    </row>
    <row r="988" spans="1:12" x14ac:dyDescent="0.3">
      <c r="A988" t="s">
        <v>1385</v>
      </c>
      <c r="B988" t="s">
        <v>51</v>
      </c>
      <c r="C988" t="s">
        <v>56</v>
      </c>
      <c r="D988" t="s">
        <v>23</v>
      </c>
      <c r="E988" t="s">
        <v>129</v>
      </c>
      <c r="F988" t="s">
        <v>46</v>
      </c>
      <c r="G988" t="s">
        <v>87</v>
      </c>
      <c r="H988" t="s">
        <v>88</v>
      </c>
      <c r="I988">
        <v>65930</v>
      </c>
      <c r="J988">
        <v>10</v>
      </c>
      <c r="K988" t="s">
        <v>28</v>
      </c>
      <c r="L988">
        <v>4325.13</v>
      </c>
    </row>
    <row r="989" spans="1:12" x14ac:dyDescent="0.3">
      <c r="A989" t="s">
        <v>1386</v>
      </c>
      <c r="B989" t="s">
        <v>732</v>
      </c>
      <c r="C989" t="s">
        <v>37</v>
      </c>
      <c r="D989" t="s">
        <v>15</v>
      </c>
      <c r="E989" t="s">
        <v>16</v>
      </c>
      <c r="F989" t="s">
        <v>17</v>
      </c>
      <c r="G989" t="s">
        <v>18</v>
      </c>
      <c r="H989" t="s">
        <v>19</v>
      </c>
      <c r="I989">
        <v>16177</v>
      </c>
      <c r="J989">
        <v>2</v>
      </c>
      <c r="K989" t="s">
        <v>49</v>
      </c>
      <c r="L989">
        <v>4166.1099999999997</v>
      </c>
    </row>
    <row r="990" spans="1:12" x14ac:dyDescent="0.3">
      <c r="A990" t="s">
        <v>1387</v>
      </c>
      <c r="B990" t="s">
        <v>763</v>
      </c>
      <c r="C990" t="s">
        <v>72</v>
      </c>
      <c r="D990" t="s">
        <v>23</v>
      </c>
      <c r="E990" t="s">
        <v>82</v>
      </c>
      <c r="F990" t="s">
        <v>46</v>
      </c>
      <c r="G990" t="s">
        <v>94</v>
      </c>
      <c r="H990" t="s">
        <v>95</v>
      </c>
      <c r="I990">
        <v>3834</v>
      </c>
      <c r="J990">
        <v>4</v>
      </c>
      <c r="K990" t="s">
        <v>20</v>
      </c>
      <c r="L990">
        <v>313.3</v>
      </c>
    </row>
    <row r="991" spans="1:12" x14ac:dyDescent="0.3">
      <c r="A991" t="s">
        <v>1388</v>
      </c>
      <c r="B991" t="s">
        <v>487</v>
      </c>
      <c r="C991" t="s">
        <v>44</v>
      </c>
      <c r="D991" t="s">
        <v>15</v>
      </c>
      <c r="E991" t="s">
        <v>73</v>
      </c>
      <c r="F991" t="s">
        <v>17</v>
      </c>
      <c r="G991" t="s">
        <v>104</v>
      </c>
      <c r="H991" t="s">
        <v>105</v>
      </c>
      <c r="I991">
        <v>67886</v>
      </c>
      <c r="J991">
        <v>5</v>
      </c>
      <c r="K991" t="s">
        <v>53</v>
      </c>
      <c r="L991">
        <v>5732.17</v>
      </c>
    </row>
    <row r="992" spans="1:12" x14ac:dyDescent="0.3">
      <c r="A992" t="s">
        <v>1389</v>
      </c>
      <c r="B992" t="s">
        <v>433</v>
      </c>
      <c r="C992" t="s">
        <v>72</v>
      </c>
      <c r="D992" t="s">
        <v>23</v>
      </c>
      <c r="E992" t="s">
        <v>24</v>
      </c>
      <c r="F992" t="s">
        <v>17</v>
      </c>
      <c r="G992" t="s">
        <v>104</v>
      </c>
      <c r="H992" t="s">
        <v>105</v>
      </c>
      <c r="I992">
        <v>72777</v>
      </c>
      <c r="J992">
        <v>8</v>
      </c>
      <c r="K992" t="s">
        <v>34</v>
      </c>
      <c r="L992">
        <v>17022.66</v>
      </c>
    </row>
    <row r="993" spans="1:12" x14ac:dyDescent="0.3">
      <c r="A993" t="s">
        <v>1390</v>
      </c>
      <c r="B993" t="s">
        <v>1391</v>
      </c>
      <c r="C993" t="s">
        <v>31</v>
      </c>
      <c r="D993" t="s">
        <v>23</v>
      </c>
      <c r="E993" t="s">
        <v>129</v>
      </c>
      <c r="F993" t="s">
        <v>17</v>
      </c>
      <c r="G993" t="s">
        <v>76</v>
      </c>
      <c r="H993" t="s">
        <v>77</v>
      </c>
      <c r="I993">
        <v>29956</v>
      </c>
      <c r="J993">
        <v>7</v>
      </c>
      <c r="K993" t="s">
        <v>28</v>
      </c>
      <c r="L993">
        <v>4240.8900000000003</v>
      </c>
    </row>
    <row r="994" spans="1:12" x14ac:dyDescent="0.3">
      <c r="A994" t="s">
        <v>1392</v>
      </c>
      <c r="B994" t="s">
        <v>659</v>
      </c>
      <c r="C994" t="s">
        <v>14</v>
      </c>
      <c r="D994" t="s">
        <v>23</v>
      </c>
      <c r="E994" t="s">
        <v>24</v>
      </c>
      <c r="F994" t="s">
        <v>25</v>
      </c>
      <c r="G994" t="s">
        <v>40</v>
      </c>
      <c r="H994" t="s">
        <v>41</v>
      </c>
      <c r="I994">
        <v>16597</v>
      </c>
      <c r="J994">
        <v>10</v>
      </c>
      <c r="K994" t="s">
        <v>28</v>
      </c>
      <c r="L994">
        <v>1993.08</v>
      </c>
    </row>
    <row r="995" spans="1:12" x14ac:dyDescent="0.3">
      <c r="A995" t="s">
        <v>1393</v>
      </c>
      <c r="B995" t="s">
        <v>942</v>
      </c>
      <c r="C995" t="s">
        <v>72</v>
      </c>
      <c r="D995" t="s">
        <v>38</v>
      </c>
      <c r="E995" t="s">
        <v>67</v>
      </c>
      <c r="F995" t="s">
        <v>17</v>
      </c>
      <c r="G995" t="s">
        <v>18</v>
      </c>
      <c r="H995" t="s">
        <v>19</v>
      </c>
      <c r="I995">
        <v>45923</v>
      </c>
      <c r="J995">
        <v>3</v>
      </c>
      <c r="K995" t="s">
        <v>34</v>
      </c>
      <c r="L995">
        <v>4236.82</v>
      </c>
    </row>
    <row r="996" spans="1:12" x14ac:dyDescent="0.3">
      <c r="A996" t="s">
        <v>1394</v>
      </c>
      <c r="B996" t="s">
        <v>809</v>
      </c>
      <c r="C996" t="s">
        <v>63</v>
      </c>
      <c r="D996" t="s">
        <v>38</v>
      </c>
      <c r="E996" t="s">
        <v>39</v>
      </c>
      <c r="F996" t="s">
        <v>25</v>
      </c>
      <c r="G996" t="s">
        <v>26</v>
      </c>
      <c r="H996" t="s">
        <v>27</v>
      </c>
      <c r="I996">
        <v>21202</v>
      </c>
      <c r="J996">
        <v>1</v>
      </c>
      <c r="K996" t="s">
        <v>34</v>
      </c>
      <c r="L996">
        <v>2032.2</v>
      </c>
    </row>
    <row r="997" spans="1:12" x14ac:dyDescent="0.3">
      <c r="A997" t="s">
        <v>1395</v>
      </c>
      <c r="B997" t="s">
        <v>245</v>
      </c>
      <c r="C997" t="s">
        <v>91</v>
      </c>
      <c r="D997" t="s">
        <v>32</v>
      </c>
      <c r="E997" t="s">
        <v>33</v>
      </c>
      <c r="F997" t="s">
        <v>17</v>
      </c>
      <c r="G997" t="s">
        <v>18</v>
      </c>
      <c r="H997" t="s">
        <v>19</v>
      </c>
      <c r="I997">
        <v>63053</v>
      </c>
      <c r="J997">
        <v>2</v>
      </c>
      <c r="K997" t="s">
        <v>28</v>
      </c>
      <c r="L997">
        <v>4516.43</v>
      </c>
    </row>
    <row r="998" spans="1:12" x14ac:dyDescent="0.3">
      <c r="A998" t="s">
        <v>1396</v>
      </c>
      <c r="B998" t="s">
        <v>51</v>
      </c>
      <c r="C998" t="s">
        <v>72</v>
      </c>
      <c r="D998" t="s">
        <v>32</v>
      </c>
      <c r="E998" t="s">
        <v>33</v>
      </c>
      <c r="F998" t="s">
        <v>17</v>
      </c>
      <c r="G998" t="s">
        <v>76</v>
      </c>
      <c r="H998" t="s">
        <v>77</v>
      </c>
      <c r="I998">
        <v>48714</v>
      </c>
      <c r="J998">
        <v>7</v>
      </c>
      <c r="K998" t="s">
        <v>34</v>
      </c>
      <c r="L998">
        <v>9539.74</v>
      </c>
    </row>
    <row r="999" spans="1:12" x14ac:dyDescent="0.3">
      <c r="A999" t="s">
        <v>1397</v>
      </c>
      <c r="B999" t="s">
        <v>1398</v>
      </c>
      <c r="C999" t="s">
        <v>56</v>
      </c>
      <c r="D999" t="s">
        <v>23</v>
      </c>
      <c r="E999" t="s">
        <v>129</v>
      </c>
      <c r="F999" t="s">
        <v>46</v>
      </c>
      <c r="G999" t="s">
        <v>94</v>
      </c>
      <c r="H999" t="s">
        <v>95</v>
      </c>
      <c r="I999">
        <v>60628</v>
      </c>
      <c r="J999">
        <v>7</v>
      </c>
      <c r="K999" t="s">
        <v>53</v>
      </c>
      <c r="L999">
        <v>10650.2</v>
      </c>
    </row>
    <row r="1000" spans="1:12" x14ac:dyDescent="0.3">
      <c r="A1000" t="s">
        <v>1399</v>
      </c>
      <c r="B1000" t="s">
        <v>614</v>
      </c>
      <c r="C1000" t="s">
        <v>56</v>
      </c>
      <c r="D1000" t="s">
        <v>15</v>
      </c>
      <c r="E1000" t="s">
        <v>16</v>
      </c>
      <c r="F1000" t="s">
        <v>46</v>
      </c>
      <c r="G1000" t="s">
        <v>94</v>
      </c>
      <c r="H1000" t="s">
        <v>95</v>
      </c>
      <c r="I1000">
        <v>4946</v>
      </c>
      <c r="J1000">
        <v>6</v>
      </c>
      <c r="K1000" t="s">
        <v>28</v>
      </c>
      <c r="L1000">
        <v>875.33</v>
      </c>
    </row>
    <row r="1001" spans="1:12" x14ac:dyDescent="0.3">
      <c r="A1001" t="s">
        <v>1400</v>
      </c>
      <c r="B1001" t="s">
        <v>659</v>
      </c>
      <c r="C1001" t="s">
        <v>63</v>
      </c>
      <c r="D1001" t="s">
        <v>23</v>
      </c>
      <c r="E1001" t="s">
        <v>24</v>
      </c>
      <c r="F1001" t="s">
        <v>17</v>
      </c>
      <c r="G1001" t="s">
        <v>18</v>
      </c>
      <c r="H1001" t="s">
        <v>19</v>
      </c>
      <c r="I1001">
        <v>31717</v>
      </c>
      <c r="J1001">
        <v>10</v>
      </c>
      <c r="K1001" t="s">
        <v>20</v>
      </c>
      <c r="L1001">
        <v>8233.9699999999993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F1D7-2D54-4B23-8E22-82DE406D0E45}">
  <dimension ref="A1:B356"/>
  <sheetViews>
    <sheetView topLeftCell="A16" workbookViewId="0">
      <selection activeCell="A23" sqref="A23"/>
    </sheetView>
  </sheetViews>
  <sheetFormatPr defaultRowHeight="14.4" x14ac:dyDescent="0.3"/>
  <cols>
    <col min="1" max="1" width="12.5546875" bestFit="1" customWidth="1"/>
    <col min="2" max="2" width="15.77734375" style="4" customWidth="1"/>
  </cols>
  <sheetData>
    <row r="1" spans="1:2" x14ac:dyDescent="0.3">
      <c r="A1" s="1" t="s">
        <v>3</v>
      </c>
      <c r="B1" s="6" t="s">
        <v>1402</v>
      </c>
    </row>
    <row r="2" spans="1:2" x14ac:dyDescent="0.3">
      <c r="A2" s="2" t="s">
        <v>23</v>
      </c>
      <c r="B2" s="6">
        <v>9567205</v>
      </c>
    </row>
    <row r="3" spans="1:2" x14ac:dyDescent="0.3">
      <c r="A3" s="2" t="s">
        <v>15</v>
      </c>
      <c r="B3" s="6">
        <v>10596642</v>
      </c>
    </row>
    <row r="4" spans="1:2" x14ac:dyDescent="0.3">
      <c r="A4" s="2" t="s">
        <v>32</v>
      </c>
      <c r="B4" s="6">
        <v>9581824</v>
      </c>
    </row>
    <row r="5" spans="1:2" x14ac:dyDescent="0.3">
      <c r="A5" s="2" t="s">
        <v>38</v>
      </c>
      <c r="B5" s="6">
        <v>9991125</v>
      </c>
    </row>
    <row r="6" spans="1:2" x14ac:dyDescent="0.3">
      <c r="A6" s="2" t="s">
        <v>1401</v>
      </c>
      <c r="B6" s="6">
        <v>39736796</v>
      </c>
    </row>
    <row r="10" spans="1:2" x14ac:dyDescent="0.3">
      <c r="A10" s="1" t="s">
        <v>5</v>
      </c>
      <c r="B10" t="s">
        <v>1402</v>
      </c>
    </row>
    <row r="11" spans="1:2" x14ac:dyDescent="0.3">
      <c r="A11" s="2" t="s">
        <v>25</v>
      </c>
      <c r="B11" s="6">
        <v>14521733</v>
      </c>
    </row>
    <row r="12" spans="1:2" x14ac:dyDescent="0.3">
      <c r="A12" s="2" t="s">
        <v>17</v>
      </c>
      <c r="B12" s="6">
        <v>12908255</v>
      </c>
    </row>
    <row r="13" spans="1:2" x14ac:dyDescent="0.3">
      <c r="A13" s="2" t="s">
        <v>46</v>
      </c>
      <c r="B13" s="6">
        <v>12306808</v>
      </c>
    </row>
    <row r="14" spans="1:2" x14ac:dyDescent="0.3">
      <c r="A14" s="2" t="s">
        <v>1401</v>
      </c>
      <c r="B14" s="6">
        <v>39736796</v>
      </c>
    </row>
    <row r="15" spans="1:2" x14ac:dyDescent="0.3">
      <c r="B15"/>
    </row>
    <row r="16" spans="1:2" x14ac:dyDescent="0.3">
      <c r="B16"/>
    </row>
    <row r="17" spans="1:2" x14ac:dyDescent="0.3">
      <c r="B17"/>
    </row>
    <row r="18" spans="1:2" x14ac:dyDescent="0.3">
      <c r="A18" s="1" t="s">
        <v>1403</v>
      </c>
      <c r="B18" t="s">
        <v>1402</v>
      </c>
    </row>
    <row r="19" spans="1:2" x14ac:dyDescent="0.3">
      <c r="A19" s="2" t="s">
        <v>1405</v>
      </c>
      <c r="B19" s="3">
        <v>3356535</v>
      </c>
    </row>
    <row r="20" spans="1:2" x14ac:dyDescent="0.3">
      <c r="A20" s="2" t="s">
        <v>1406</v>
      </c>
      <c r="B20" s="3">
        <v>3671308</v>
      </c>
    </row>
    <row r="21" spans="1:2" x14ac:dyDescent="0.3">
      <c r="A21" s="2" t="s">
        <v>1407</v>
      </c>
      <c r="B21" s="3">
        <v>2856653</v>
      </c>
    </row>
    <row r="22" spans="1:2" x14ac:dyDescent="0.3">
      <c r="A22" s="2" t="s">
        <v>1408</v>
      </c>
      <c r="B22" s="3">
        <v>2269952</v>
      </c>
    </row>
    <row r="23" spans="1:2" x14ac:dyDescent="0.3">
      <c r="A23" s="2" t="s">
        <v>1409</v>
      </c>
      <c r="B23" s="3">
        <v>3467626</v>
      </c>
    </row>
    <row r="24" spans="1:2" x14ac:dyDescent="0.3">
      <c r="A24" s="2" t="s">
        <v>1410</v>
      </c>
      <c r="B24" s="3">
        <v>3494908</v>
      </c>
    </row>
    <row r="25" spans="1:2" x14ac:dyDescent="0.3">
      <c r="A25" s="2" t="s">
        <v>1411</v>
      </c>
      <c r="B25" s="3">
        <v>3413508</v>
      </c>
    </row>
    <row r="26" spans="1:2" x14ac:dyDescent="0.3">
      <c r="A26" s="2" t="s">
        <v>1412</v>
      </c>
      <c r="B26" s="3">
        <v>4177795</v>
      </c>
    </row>
    <row r="27" spans="1:2" x14ac:dyDescent="0.3">
      <c r="A27" s="2" t="s">
        <v>1413</v>
      </c>
      <c r="B27" s="3">
        <v>2709886</v>
      </c>
    </row>
    <row r="28" spans="1:2" x14ac:dyDescent="0.3">
      <c r="A28" s="2" t="s">
        <v>1414</v>
      </c>
      <c r="B28" s="3">
        <v>3611038</v>
      </c>
    </row>
    <row r="29" spans="1:2" x14ac:dyDescent="0.3">
      <c r="A29" s="2" t="s">
        <v>1415</v>
      </c>
      <c r="B29" s="3">
        <v>3431962</v>
      </c>
    </row>
    <row r="30" spans="1:2" x14ac:dyDescent="0.3">
      <c r="A30" s="2" t="s">
        <v>1416</v>
      </c>
      <c r="B30" s="3">
        <v>3275625</v>
      </c>
    </row>
    <row r="31" spans="1:2" x14ac:dyDescent="0.3">
      <c r="A31" s="2" t="s">
        <v>1401</v>
      </c>
      <c r="B31" s="3">
        <v>39736796</v>
      </c>
    </row>
    <row r="32" spans="1:2" x14ac:dyDescent="0.3">
      <c r="B32"/>
    </row>
    <row r="33" spans="1:2" x14ac:dyDescent="0.3">
      <c r="B33"/>
    </row>
    <row r="34" spans="1:2" x14ac:dyDescent="0.3">
      <c r="A34" s="1" t="s">
        <v>1404</v>
      </c>
      <c r="B34" t="s">
        <v>1402</v>
      </c>
    </row>
    <row r="35" spans="1:2" x14ac:dyDescent="0.3">
      <c r="A35" s="2">
        <v>2025</v>
      </c>
      <c r="B35" s="3">
        <v>39736796</v>
      </c>
    </row>
    <row r="36" spans="1:2" x14ac:dyDescent="0.3">
      <c r="A36" s="2" t="s">
        <v>1401</v>
      </c>
      <c r="B36" s="3">
        <v>39736796</v>
      </c>
    </row>
    <row r="37" spans="1:2" x14ac:dyDescent="0.3">
      <c r="B37"/>
    </row>
    <row r="38" spans="1:2" x14ac:dyDescent="0.3">
      <c r="B38"/>
    </row>
    <row r="39" spans="1:2" x14ac:dyDescent="0.3">
      <c r="B39"/>
    </row>
    <row r="40" spans="1:2" x14ac:dyDescent="0.3">
      <c r="B40"/>
    </row>
    <row r="41" spans="1:2" x14ac:dyDescent="0.3">
      <c r="B41"/>
    </row>
    <row r="42" spans="1:2" x14ac:dyDescent="0.3">
      <c r="B42"/>
    </row>
    <row r="43" spans="1:2" x14ac:dyDescent="0.3">
      <c r="B43"/>
    </row>
    <row r="44" spans="1:2" x14ac:dyDescent="0.3">
      <c r="B44"/>
    </row>
    <row r="45" spans="1:2" x14ac:dyDescent="0.3">
      <c r="B45"/>
    </row>
    <row r="46" spans="1:2" x14ac:dyDescent="0.3">
      <c r="B46"/>
    </row>
    <row r="47" spans="1:2" x14ac:dyDescent="0.3">
      <c r="B47"/>
    </row>
    <row r="48" spans="1:2" x14ac:dyDescent="0.3">
      <c r="B48"/>
    </row>
    <row r="49" spans="2:2" x14ac:dyDescent="0.3">
      <c r="B49"/>
    </row>
    <row r="50" spans="2:2" x14ac:dyDescent="0.3">
      <c r="B50"/>
    </row>
    <row r="51" spans="2:2" x14ac:dyDescent="0.3">
      <c r="B51"/>
    </row>
    <row r="52" spans="2:2" x14ac:dyDescent="0.3">
      <c r="B52"/>
    </row>
    <row r="53" spans="2:2" x14ac:dyDescent="0.3">
      <c r="B53"/>
    </row>
    <row r="54" spans="2:2" x14ac:dyDescent="0.3">
      <c r="B54"/>
    </row>
    <row r="55" spans="2:2" x14ac:dyDescent="0.3">
      <c r="B55"/>
    </row>
    <row r="56" spans="2:2" x14ac:dyDescent="0.3">
      <c r="B56"/>
    </row>
    <row r="57" spans="2:2" x14ac:dyDescent="0.3">
      <c r="B57"/>
    </row>
    <row r="58" spans="2:2" x14ac:dyDescent="0.3">
      <c r="B58"/>
    </row>
    <row r="59" spans="2:2" x14ac:dyDescent="0.3">
      <c r="B59"/>
    </row>
    <row r="60" spans="2:2" x14ac:dyDescent="0.3">
      <c r="B60"/>
    </row>
    <row r="61" spans="2:2" x14ac:dyDescent="0.3">
      <c r="B61"/>
    </row>
    <row r="62" spans="2:2" x14ac:dyDescent="0.3">
      <c r="B62"/>
    </row>
    <row r="63" spans="2:2" x14ac:dyDescent="0.3">
      <c r="B63"/>
    </row>
    <row r="64" spans="2:2" x14ac:dyDescent="0.3">
      <c r="B64"/>
    </row>
    <row r="65" spans="2:2" x14ac:dyDescent="0.3">
      <c r="B65"/>
    </row>
    <row r="66" spans="2:2" x14ac:dyDescent="0.3">
      <c r="B66"/>
    </row>
    <row r="67" spans="2:2" x14ac:dyDescent="0.3">
      <c r="B67"/>
    </row>
    <row r="68" spans="2:2" x14ac:dyDescent="0.3">
      <c r="B68"/>
    </row>
    <row r="69" spans="2:2" x14ac:dyDescent="0.3">
      <c r="B69"/>
    </row>
    <row r="70" spans="2:2" x14ac:dyDescent="0.3">
      <c r="B70"/>
    </row>
    <row r="71" spans="2:2" x14ac:dyDescent="0.3">
      <c r="B71"/>
    </row>
    <row r="72" spans="2:2" x14ac:dyDescent="0.3">
      <c r="B72"/>
    </row>
    <row r="73" spans="2:2" x14ac:dyDescent="0.3">
      <c r="B73"/>
    </row>
    <row r="74" spans="2:2" x14ac:dyDescent="0.3">
      <c r="B74"/>
    </row>
    <row r="75" spans="2:2" x14ac:dyDescent="0.3">
      <c r="B75"/>
    </row>
    <row r="76" spans="2:2" x14ac:dyDescent="0.3">
      <c r="B76"/>
    </row>
    <row r="77" spans="2:2" x14ac:dyDescent="0.3">
      <c r="B77"/>
    </row>
    <row r="78" spans="2:2" x14ac:dyDescent="0.3">
      <c r="B78"/>
    </row>
    <row r="79" spans="2:2" x14ac:dyDescent="0.3">
      <c r="B79"/>
    </row>
    <row r="80" spans="2:2" x14ac:dyDescent="0.3">
      <c r="B80"/>
    </row>
    <row r="81" spans="2:2" x14ac:dyDescent="0.3">
      <c r="B81"/>
    </row>
    <row r="82" spans="2:2" x14ac:dyDescent="0.3">
      <c r="B82"/>
    </row>
    <row r="83" spans="2:2" x14ac:dyDescent="0.3">
      <c r="B83"/>
    </row>
    <row r="84" spans="2:2" x14ac:dyDescent="0.3">
      <c r="B84"/>
    </row>
    <row r="85" spans="2:2" x14ac:dyDescent="0.3">
      <c r="B85"/>
    </row>
    <row r="86" spans="2:2" x14ac:dyDescent="0.3">
      <c r="B86"/>
    </row>
    <row r="87" spans="2:2" x14ac:dyDescent="0.3">
      <c r="B87"/>
    </row>
    <row r="88" spans="2:2" x14ac:dyDescent="0.3">
      <c r="B88"/>
    </row>
    <row r="89" spans="2:2" x14ac:dyDescent="0.3">
      <c r="B89"/>
    </row>
    <row r="90" spans="2:2" x14ac:dyDescent="0.3">
      <c r="B90"/>
    </row>
    <row r="91" spans="2:2" x14ac:dyDescent="0.3">
      <c r="B91"/>
    </row>
    <row r="92" spans="2:2" x14ac:dyDescent="0.3">
      <c r="B92"/>
    </row>
    <row r="93" spans="2:2" x14ac:dyDescent="0.3">
      <c r="B93"/>
    </row>
    <row r="94" spans="2:2" x14ac:dyDescent="0.3">
      <c r="B94"/>
    </row>
    <row r="95" spans="2:2" x14ac:dyDescent="0.3">
      <c r="B95"/>
    </row>
    <row r="96" spans="2:2" x14ac:dyDescent="0.3">
      <c r="B96"/>
    </row>
    <row r="97" spans="2:2" x14ac:dyDescent="0.3">
      <c r="B97"/>
    </row>
    <row r="98" spans="2:2" x14ac:dyDescent="0.3">
      <c r="B98"/>
    </row>
    <row r="99" spans="2:2" x14ac:dyDescent="0.3">
      <c r="B99"/>
    </row>
    <row r="100" spans="2:2" x14ac:dyDescent="0.3">
      <c r="B100"/>
    </row>
    <row r="101" spans="2:2" x14ac:dyDescent="0.3">
      <c r="B101"/>
    </row>
    <row r="102" spans="2:2" x14ac:dyDescent="0.3">
      <c r="B102"/>
    </row>
    <row r="103" spans="2:2" x14ac:dyDescent="0.3">
      <c r="B103"/>
    </row>
    <row r="104" spans="2:2" x14ac:dyDescent="0.3">
      <c r="B104"/>
    </row>
    <row r="105" spans="2:2" x14ac:dyDescent="0.3">
      <c r="B105"/>
    </row>
    <row r="106" spans="2:2" x14ac:dyDescent="0.3">
      <c r="B106"/>
    </row>
    <row r="107" spans="2:2" x14ac:dyDescent="0.3">
      <c r="B107"/>
    </row>
    <row r="108" spans="2:2" x14ac:dyDescent="0.3">
      <c r="B108"/>
    </row>
    <row r="109" spans="2:2" x14ac:dyDescent="0.3">
      <c r="B109"/>
    </row>
    <row r="110" spans="2:2" x14ac:dyDescent="0.3">
      <c r="B110"/>
    </row>
    <row r="111" spans="2:2" x14ac:dyDescent="0.3">
      <c r="B111"/>
    </row>
    <row r="112" spans="2:2" x14ac:dyDescent="0.3">
      <c r="B112"/>
    </row>
    <row r="113" spans="2:2" x14ac:dyDescent="0.3">
      <c r="B113"/>
    </row>
    <row r="114" spans="2:2" x14ac:dyDescent="0.3">
      <c r="B114"/>
    </row>
    <row r="115" spans="2:2" x14ac:dyDescent="0.3">
      <c r="B115"/>
    </row>
    <row r="116" spans="2:2" x14ac:dyDescent="0.3">
      <c r="B116"/>
    </row>
    <row r="117" spans="2:2" x14ac:dyDescent="0.3">
      <c r="B117"/>
    </row>
    <row r="118" spans="2:2" x14ac:dyDescent="0.3">
      <c r="B118"/>
    </row>
    <row r="119" spans="2:2" x14ac:dyDescent="0.3">
      <c r="B119"/>
    </row>
    <row r="120" spans="2:2" x14ac:dyDescent="0.3">
      <c r="B120"/>
    </row>
    <row r="121" spans="2:2" x14ac:dyDescent="0.3">
      <c r="B121"/>
    </row>
    <row r="122" spans="2:2" x14ac:dyDescent="0.3">
      <c r="B122"/>
    </row>
    <row r="123" spans="2:2" x14ac:dyDescent="0.3">
      <c r="B123"/>
    </row>
    <row r="124" spans="2:2" x14ac:dyDescent="0.3">
      <c r="B124"/>
    </row>
    <row r="125" spans="2:2" x14ac:dyDescent="0.3">
      <c r="B125"/>
    </row>
    <row r="126" spans="2:2" x14ac:dyDescent="0.3">
      <c r="B126"/>
    </row>
    <row r="127" spans="2:2" x14ac:dyDescent="0.3">
      <c r="B127"/>
    </row>
    <row r="128" spans="2:2" x14ac:dyDescent="0.3">
      <c r="B128"/>
    </row>
    <row r="129" spans="2:2" x14ac:dyDescent="0.3">
      <c r="B129"/>
    </row>
    <row r="130" spans="2:2" x14ac:dyDescent="0.3">
      <c r="B130"/>
    </row>
    <row r="131" spans="2:2" x14ac:dyDescent="0.3">
      <c r="B131"/>
    </row>
    <row r="132" spans="2:2" x14ac:dyDescent="0.3">
      <c r="B132"/>
    </row>
    <row r="133" spans="2:2" x14ac:dyDescent="0.3">
      <c r="B133"/>
    </row>
    <row r="134" spans="2:2" x14ac:dyDescent="0.3">
      <c r="B134"/>
    </row>
    <row r="135" spans="2:2" x14ac:dyDescent="0.3">
      <c r="B135"/>
    </row>
    <row r="136" spans="2:2" x14ac:dyDescent="0.3">
      <c r="B136"/>
    </row>
    <row r="137" spans="2:2" x14ac:dyDescent="0.3">
      <c r="B137"/>
    </row>
    <row r="138" spans="2:2" x14ac:dyDescent="0.3">
      <c r="B138"/>
    </row>
    <row r="139" spans="2:2" x14ac:dyDescent="0.3">
      <c r="B139"/>
    </row>
    <row r="140" spans="2:2" x14ac:dyDescent="0.3">
      <c r="B140"/>
    </row>
    <row r="141" spans="2:2" x14ac:dyDescent="0.3">
      <c r="B141"/>
    </row>
    <row r="142" spans="2:2" x14ac:dyDescent="0.3">
      <c r="B142"/>
    </row>
    <row r="143" spans="2:2" x14ac:dyDescent="0.3">
      <c r="B143"/>
    </row>
    <row r="144" spans="2:2" x14ac:dyDescent="0.3">
      <c r="B144"/>
    </row>
    <row r="145" spans="2:2" x14ac:dyDescent="0.3">
      <c r="B145"/>
    </row>
    <row r="146" spans="2:2" x14ac:dyDescent="0.3">
      <c r="B146"/>
    </row>
    <row r="147" spans="2:2" x14ac:dyDescent="0.3">
      <c r="B147"/>
    </row>
    <row r="148" spans="2:2" x14ac:dyDescent="0.3">
      <c r="B148"/>
    </row>
    <row r="149" spans="2:2" x14ac:dyDescent="0.3">
      <c r="B149"/>
    </row>
    <row r="150" spans="2:2" x14ac:dyDescent="0.3">
      <c r="B150"/>
    </row>
    <row r="151" spans="2:2" x14ac:dyDescent="0.3">
      <c r="B151"/>
    </row>
    <row r="152" spans="2:2" x14ac:dyDescent="0.3">
      <c r="B152"/>
    </row>
    <row r="153" spans="2:2" x14ac:dyDescent="0.3">
      <c r="B153"/>
    </row>
    <row r="154" spans="2:2" x14ac:dyDescent="0.3">
      <c r="B154"/>
    </row>
    <row r="155" spans="2:2" x14ac:dyDescent="0.3">
      <c r="B155"/>
    </row>
    <row r="156" spans="2:2" x14ac:dyDescent="0.3">
      <c r="B156"/>
    </row>
    <row r="157" spans="2:2" x14ac:dyDescent="0.3">
      <c r="B157"/>
    </row>
    <row r="158" spans="2:2" x14ac:dyDescent="0.3">
      <c r="B158"/>
    </row>
    <row r="159" spans="2:2" x14ac:dyDescent="0.3">
      <c r="B159"/>
    </row>
    <row r="160" spans="2:2" x14ac:dyDescent="0.3">
      <c r="B160"/>
    </row>
    <row r="161" spans="2:2" x14ac:dyDescent="0.3">
      <c r="B161"/>
    </row>
    <row r="162" spans="2:2" x14ac:dyDescent="0.3">
      <c r="B162"/>
    </row>
    <row r="163" spans="2:2" x14ac:dyDescent="0.3">
      <c r="B163"/>
    </row>
    <row r="164" spans="2:2" x14ac:dyDescent="0.3">
      <c r="B164"/>
    </row>
    <row r="165" spans="2:2" x14ac:dyDescent="0.3">
      <c r="B165"/>
    </row>
    <row r="166" spans="2:2" x14ac:dyDescent="0.3">
      <c r="B166"/>
    </row>
    <row r="167" spans="2:2" x14ac:dyDescent="0.3">
      <c r="B167"/>
    </row>
    <row r="168" spans="2:2" x14ac:dyDescent="0.3">
      <c r="B168"/>
    </row>
    <row r="169" spans="2:2" x14ac:dyDescent="0.3">
      <c r="B169"/>
    </row>
    <row r="170" spans="2:2" x14ac:dyDescent="0.3">
      <c r="B170"/>
    </row>
    <row r="171" spans="2:2" x14ac:dyDescent="0.3">
      <c r="B171"/>
    </row>
    <row r="172" spans="2:2" x14ac:dyDescent="0.3">
      <c r="B172"/>
    </row>
    <row r="173" spans="2:2" x14ac:dyDescent="0.3">
      <c r="B173"/>
    </row>
    <row r="174" spans="2:2" x14ac:dyDescent="0.3">
      <c r="B174"/>
    </row>
    <row r="175" spans="2:2" x14ac:dyDescent="0.3">
      <c r="B175"/>
    </row>
    <row r="176" spans="2:2" x14ac:dyDescent="0.3">
      <c r="B176"/>
    </row>
    <row r="177" spans="2:2" x14ac:dyDescent="0.3">
      <c r="B177"/>
    </row>
    <row r="178" spans="2:2" x14ac:dyDescent="0.3">
      <c r="B178"/>
    </row>
    <row r="179" spans="2:2" x14ac:dyDescent="0.3">
      <c r="B179"/>
    </row>
    <row r="180" spans="2:2" x14ac:dyDescent="0.3">
      <c r="B180"/>
    </row>
    <row r="181" spans="2:2" x14ac:dyDescent="0.3">
      <c r="B181"/>
    </row>
    <row r="182" spans="2:2" x14ac:dyDescent="0.3">
      <c r="B182"/>
    </row>
    <row r="183" spans="2:2" x14ac:dyDescent="0.3">
      <c r="B183"/>
    </row>
    <row r="184" spans="2:2" x14ac:dyDescent="0.3">
      <c r="B184"/>
    </row>
    <row r="185" spans="2:2" x14ac:dyDescent="0.3">
      <c r="B185"/>
    </row>
    <row r="186" spans="2:2" x14ac:dyDescent="0.3">
      <c r="B186"/>
    </row>
    <row r="187" spans="2:2" x14ac:dyDescent="0.3">
      <c r="B187"/>
    </row>
    <row r="188" spans="2:2" x14ac:dyDescent="0.3">
      <c r="B188"/>
    </row>
    <row r="189" spans="2:2" x14ac:dyDescent="0.3">
      <c r="B189"/>
    </row>
    <row r="190" spans="2:2" x14ac:dyDescent="0.3">
      <c r="B190"/>
    </row>
    <row r="191" spans="2:2" x14ac:dyDescent="0.3">
      <c r="B191"/>
    </row>
    <row r="192" spans="2:2" x14ac:dyDescent="0.3">
      <c r="B192"/>
    </row>
    <row r="193" spans="2:2" x14ac:dyDescent="0.3">
      <c r="B193"/>
    </row>
    <row r="194" spans="2:2" x14ac:dyDescent="0.3">
      <c r="B194"/>
    </row>
    <row r="195" spans="2:2" x14ac:dyDescent="0.3">
      <c r="B195"/>
    </row>
    <row r="196" spans="2:2" x14ac:dyDescent="0.3">
      <c r="B196"/>
    </row>
    <row r="197" spans="2:2" x14ac:dyDescent="0.3">
      <c r="B197"/>
    </row>
    <row r="198" spans="2:2" x14ac:dyDescent="0.3">
      <c r="B198"/>
    </row>
    <row r="199" spans="2:2" x14ac:dyDescent="0.3">
      <c r="B199"/>
    </row>
    <row r="200" spans="2:2" x14ac:dyDescent="0.3">
      <c r="B200"/>
    </row>
    <row r="201" spans="2:2" x14ac:dyDescent="0.3">
      <c r="B201"/>
    </row>
    <row r="202" spans="2:2" x14ac:dyDescent="0.3">
      <c r="B202"/>
    </row>
    <row r="203" spans="2:2" x14ac:dyDescent="0.3">
      <c r="B203"/>
    </row>
    <row r="204" spans="2:2" x14ac:dyDescent="0.3">
      <c r="B204"/>
    </row>
    <row r="205" spans="2:2" x14ac:dyDescent="0.3">
      <c r="B205"/>
    </row>
    <row r="206" spans="2:2" x14ac:dyDescent="0.3">
      <c r="B206"/>
    </row>
    <row r="207" spans="2:2" x14ac:dyDescent="0.3">
      <c r="B207"/>
    </row>
    <row r="208" spans="2:2" x14ac:dyDescent="0.3">
      <c r="B208"/>
    </row>
    <row r="209" spans="2:2" x14ac:dyDescent="0.3">
      <c r="B209"/>
    </row>
    <row r="210" spans="2:2" x14ac:dyDescent="0.3">
      <c r="B210"/>
    </row>
    <row r="211" spans="2:2" x14ac:dyDescent="0.3">
      <c r="B211"/>
    </row>
    <row r="212" spans="2:2" x14ac:dyDescent="0.3">
      <c r="B212"/>
    </row>
    <row r="213" spans="2:2" x14ac:dyDescent="0.3">
      <c r="B213"/>
    </row>
    <row r="214" spans="2:2" x14ac:dyDescent="0.3">
      <c r="B214"/>
    </row>
    <row r="215" spans="2:2" x14ac:dyDescent="0.3">
      <c r="B215"/>
    </row>
    <row r="216" spans="2:2" x14ac:dyDescent="0.3">
      <c r="B216"/>
    </row>
    <row r="217" spans="2:2" x14ac:dyDescent="0.3">
      <c r="B217"/>
    </row>
    <row r="218" spans="2:2" x14ac:dyDescent="0.3">
      <c r="B218"/>
    </row>
    <row r="219" spans="2:2" x14ac:dyDescent="0.3">
      <c r="B219"/>
    </row>
    <row r="220" spans="2:2" x14ac:dyDescent="0.3">
      <c r="B220"/>
    </row>
    <row r="221" spans="2:2" x14ac:dyDescent="0.3">
      <c r="B221"/>
    </row>
    <row r="222" spans="2:2" x14ac:dyDescent="0.3">
      <c r="B222"/>
    </row>
    <row r="223" spans="2:2" x14ac:dyDescent="0.3">
      <c r="B223"/>
    </row>
    <row r="224" spans="2:2" x14ac:dyDescent="0.3">
      <c r="B224"/>
    </row>
    <row r="225" spans="2:2" x14ac:dyDescent="0.3">
      <c r="B225"/>
    </row>
    <row r="226" spans="2:2" x14ac:dyDescent="0.3">
      <c r="B226"/>
    </row>
    <row r="227" spans="2:2" x14ac:dyDescent="0.3">
      <c r="B227"/>
    </row>
    <row r="228" spans="2:2" x14ac:dyDescent="0.3">
      <c r="B228"/>
    </row>
    <row r="229" spans="2:2" x14ac:dyDescent="0.3">
      <c r="B229"/>
    </row>
    <row r="230" spans="2:2" x14ac:dyDescent="0.3">
      <c r="B230"/>
    </row>
    <row r="231" spans="2:2" x14ac:dyDescent="0.3">
      <c r="B231"/>
    </row>
    <row r="232" spans="2:2" x14ac:dyDescent="0.3">
      <c r="B232"/>
    </row>
    <row r="233" spans="2:2" x14ac:dyDescent="0.3">
      <c r="B233"/>
    </row>
    <row r="234" spans="2:2" x14ac:dyDescent="0.3">
      <c r="B234"/>
    </row>
    <row r="235" spans="2:2" x14ac:dyDescent="0.3">
      <c r="B235"/>
    </row>
    <row r="236" spans="2:2" x14ac:dyDescent="0.3">
      <c r="B236"/>
    </row>
    <row r="237" spans="2:2" x14ac:dyDescent="0.3">
      <c r="B237"/>
    </row>
    <row r="238" spans="2:2" x14ac:dyDescent="0.3">
      <c r="B238"/>
    </row>
    <row r="239" spans="2:2" x14ac:dyDescent="0.3">
      <c r="B239"/>
    </row>
    <row r="240" spans="2:2" x14ac:dyDescent="0.3">
      <c r="B240"/>
    </row>
    <row r="241" spans="2:2" x14ac:dyDescent="0.3">
      <c r="B241"/>
    </row>
    <row r="242" spans="2:2" x14ac:dyDescent="0.3">
      <c r="B242"/>
    </row>
    <row r="243" spans="2:2" x14ac:dyDescent="0.3">
      <c r="B243"/>
    </row>
    <row r="244" spans="2:2" x14ac:dyDescent="0.3">
      <c r="B244"/>
    </row>
    <row r="245" spans="2:2" x14ac:dyDescent="0.3">
      <c r="B245"/>
    </row>
    <row r="246" spans="2:2" x14ac:dyDescent="0.3">
      <c r="B246"/>
    </row>
    <row r="247" spans="2:2" x14ac:dyDescent="0.3">
      <c r="B247"/>
    </row>
    <row r="248" spans="2:2" x14ac:dyDescent="0.3">
      <c r="B248"/>
    </row>
    <row r="249" spans="2:2" x14ac:dyDescent="0.3">
      <c r="B249"/>
    </row>
    <row r="250" spans="2:2" x14ac:dyDescent="0.3">
      <c r="B250"/>
    </row>
    <row r="251" spans="2:2" x14ac:dyDescent="0.3">
      <c r="B251"/>
    </row>
    <row r="252" spans="2:2" x14ac:dyDescent="0.3">
      <c r="B252"/>
    </row>
    <row r="253" spans="2:2" x14ac:dyDescent="0.3">
      <c r="B253"/>
    </row>
    <row r="254" spans="2:2" x14ac:dyDescent="0.3">
      <c r="B254"/>
    </row>
    <row r="255" spans="2:2" x14ac:dyDescent="0.3">
      <c r="B255"/>
    </row>
    <row r="256" spans="2:2" x14ac:dyDescent="0.3">
      <c r="B256"/>
    </row>
    <row r="257" spans="2:2" x14ac:dyDescent="0.3">
      <c r="B257"/>
    </row>
    <row r="258" spans="2:2" x14ac:dyDescent="0.3">
      <c r="B258"/>
    </row>
    <row r="259" spans="2:2" x14ac:dyDescent="0.3">
      <c r="B259"/>
    </row>
    <row r="260" spans="2:2" x14ac:dyDescent="0.3">
      <c r="B260"/>
    </row>
    <row r="261" spans="2:2" x14ac:dyDescent="0.3">
      <c r="B261"/>
    </row>
    <row r="262" spans="2:2" x14ac:dyDescent="0.3">
      <c r="B262"/>
    </row>
    <row r="263" spans="2:2" x14ac:dyDescent="0.3">
      <c r="B263"/>
    </row>
    <row r="264" spans="2:2" x14ac:dyDescent="0.3">
      <c r="B264"/>
    </row>
    <row r="265" spans="2:2" x14ac:dyDescent="0.3">
      <c r="B265"/>
    </row>
    <row r="266" spans="2:2" x14ac:dyDescent="0.3">
      <c r="B266"/>
    </row>
    <row r="267" spans="2:2" x14ac:dyDescent="0.3">
      <c r="B267"/>
    </row>
    <row r="268" spans="2:2" x14ac:dyDescent="0.3">
      <c r="B268"/>
    </row>
    <row r="269" spans="2:2" x14ac:dyDescent="0.3">
      <c r="B269"/>
    </row>
    <row r="270" spans="2:2" x14ac:dyDescent="0.3">
      <c r="B270"/>
    </row>
    <row r="271" spans="2:2" x14ac:dyDescent="0.3">
      <c r="B271"/>
    </row>
    <row r="272" spans="2:2" x14ac:dyDescent="0.3">
      <c r="B272"/>
    </row>
    <row r="273" spans="2:2" x14ac:dyDescent="0.3">
      <c r="B273"/>
    </row>
    <row r="274" spans="2:2" x14ac:dyDescent="0.3">
      <c r="B274"/>
    </row>
    <row r="275" spans="2:2" x14ac:dyDescent="0.3">
      <c r="B275"/>
    </row>
    <row r="276" spans="2:2" x14ac:dyDescent="0.3">
      <c r="B276"/>
    </row>
    <row r="277" spans="2:2" x14ac:dyDescent="0.3">
      <c r="B277"/>
    </row>
    <row r="278" spans="2:2" x14ac:dyDescent="0.3">
      <c r="B278"/>
    </row>
    <row r="279" spans="2:2" x14ac:dyDescent="0.3">
      <c r="B279"/>
    </row>
    <row r="280" spans="2:2" x14ac:dyDescent="0.3">
      <c r="B280"/>
    </row>
    <row r="281" spans="2:2" x14ac:dyDescent="0.3">
      <c r="B281"/>
    </row>
    <row r="282" spans="2:2" x14ac:dyDescent="0.3">
      <c r="B282"/>
    </row>
    <row r="283" spans="2:2" x14ac:dyDescent="0.3">
      <c r="B283"/>
    </row>
    <row r="284" spans="2:2" x14ac:dyDescent="0.3">
      <c r="B284"/>
    </row>
    <row r="285" spans="2:2" x14ac:dyDescent="0.3">
      <c r="B285"/>
    </row>
    <row r="286" spans="2:2" x14ac:dyDescent="0.3">
      <c r="B286"/>
    </row>
    <row r="287" spans="2:2" x14ac:dyDescent="0.3">
      <c r="B287"/>
    </row>
    <row r="288" spans="2:2" x14ac:dyDescent="0.3">
      <c r="B288"/>
    </row>
    <row r="289" spans="2:2" x14ac:dyDescent="0.3">
      <c r="B289"/>
    </row>
    <row r="290" spans="2:2" x14ac:dyDescent="0.3">
      <c r="B290"/>
    </row>
    <row r="291" spans="2:2" x14ac:dyDescent="0.3">
      <c r="B291"/>
    </row>
    <row r="292" spans="2:2" x14ac:dyDescent="0.3">
      <c r="B292"/>
    </row>
    <row r="293" spans="2:2" x14ac:dyDescent="0.3">
      <c r="B293"/>
    </row>
    <row r="294" spans="2:2" x14ac:dyDescent="0.3">
      <c r="B294"/>
    </row>
    <row r="295" spans="2:2" x14ac:dyDescent="0.3">
      <c r="B295"/>
    </row>
    <row r="296" spans="2:2" x14ac:dyDescent="0.3">
      <c r="B296"/>
    </row>
    <row r="297" spans="2:2" x14ac:dyDescent="0.3">
      <c r="B297"/>
    </row>
    <row r="298" spans="2:2" x14ac:dyDescent="0.3">
      <c r="B298"/>
    </row>
    <row r="299" spans="2:2" x14ac:dyDescent="0.3">
      <c r="B299"/>
    </row>
    <row r="300" spans="2:2" x14ac:dyDescent="0.3">
      <c r="B300"/>
    </row>
    <row r="301" spans="2:2" x14ac:dyDescent="0.3">
      <c r="B301"/>
    </row>
    <row r="302" spans="2:2" x14ac:dyDescent="0.3">
      <c r="B302"/>
    </row>
    <row r="303" spans="2:2" x14ac:dyDescent="0.3">
      <c r="B303"/>
    </row>
    <row r="304" spans="2:2" x14ac:dyDescent="0.3">
      <c r="B304"/>
    </row>
    <row r="305" spans="2:2" x14ac:dyDescent="0.3">
      <c r="B305"/>
    </row>
    <row r="306" spans="2:2" x14ac:dyDescent="0.3">
      <c r="B306"/>
    </row>
    <row r="307" spans="2:2" x14ac:dyDescent="0.3">
      <c r="B307"/>
    </row>
    <row r="308" spans="2:2" x14ac:dyDescent="0.3">
      <c r="B308"/>
    </row>
    <row r="309" spans="2:2" x14ac:dyDescent="0.3">
      <c r="B309"/>
    </row>
    <row r="310" spans="2:2" x14ac:dyDescent="0.3">
      <c r="B310"/>
    </row>
    <row r="311" spans="2:2" x14ac:dyDescent="0.3">
      <c r="B311"/>
    </row>
    <row r="312" spans="2:2" x14ac:dyDescent="0.3">
      <c r="B312"/>
    </row>
    <row r="313" spans="2:2" x14ac:dyDescent="0.3">
      <c r="B313"/>
    </row>
    <row r="314" spans="2:2" x14ac:dyDescent="0.3">
      <c r="B314"/>
    </row>
    <row r="315" spans="2:2" x14ac:dyDescent="0.3">
      <c r="B315"/>
    </row>
    <row r="316" spans="2:2" x14ac:dyDescent="0.3">
      <c r="B316"/>
    </row>
    <row r="317" spans="2:2" x14ac:dyDescent="0.3">
      <c r="B317"/>
    </row>
    <row r="318" spans="2:2" x14ac:dyDescent="0.3">
      <c r="B318"/>
    </row>
    <row r="319" spans="2:2" x14ac:dyDescent="0.3">
      <c r="B319"/>
    </row>
    <row r="320" spans="2:2" x14ac:dyDescent="0.3">
      <c r="B320"/>
    </row>
    <row r="321" spans="2:2" x14ac:dyDescent="0.3">
      <c r="B321"/>
    </row>
    <row r="322" spans="2:2" x14ac:dyDescent="0.3">
      <c r="B322"/>
    </row>
    <row r="323" spans="2:2" x14ac:dyDescent="0.3">
      <c r="B323"/>
    </row>
    <row r="324" spans="2:2" x14ac:dyDescent="0.3">
      <c r="B324"/>
    </row>
    <row r="325" spans="2:2" x14ac:dyDescent="0.3">
      <c r="B325"/>
    </row>
    <row r="326" spans="2:2" x14ac:dyDescent="0.3">
      <c r="B326"/>
    </row>
    <row r="327" spans="2:2" x14ac:dyDescent="0.3">
      <c r="B327"/>
    </row>
    <row r="328" spans="2:2" x14ac:dyDescent="0.3">
      <c r="B328"/>
    </row>
    <row r="329" spans="2:2" x14ac:dyDescent="0.3">
      <c r="B329"/>
    </row>
    <row r="330" spans="2:2" x14ac:dyDescent="0.3">
      <c r="B330"/>
    </row>
    <row r="331" spans="2:2" x14ac:dyDescent="0.3">
      <c r="B331"/>
    </row>
    <row r="332" spans="2:2" x14ac:dyDescent="0.3">
      <c r="B332"/>
    </row>
    <row r="333" spans="2:2" x14ac:dyDescent="0.3">
      <c r="B333"/>
    </row>
    <row r="334" spans="2:2" x14ac:dyDescent="0.3">
      <c r="B334"/>
    </row>
    <row r="335" spans="2:2" x14ac:dyDescent="0.3">
      <c r="B335"/>
    </row>
    <row r="336" spans="2:2" x14ac:dyDescent="0.3">
      <c r="B336"/>
    </row>
    <row r="337" spans="2:2" x14ac:dyDescent="0.3">
      <c r="B337"/>
    </row>
    <row r="338" spans="2:2" x14ac:dyDescent="0.3">
      <c r="B338"/>
    </row>
    <row r="339" spans="2:2" x14ac:dyDescent="0.3">
      <c r="B339"/>
    </row>
    <row r="340" spans="2:2" x14ac:dyDescent="0.3">
      <c r="B340"/>
    </row>
    <row r="341" spans="2:2" x14ac:dyDescent="0.3">
      <c r="B341"/>
    </row>
    <row r="342" spans="2:2" x14ac:dyDescent="0.3">
      <c r="B342"/>
    </row>
    <row r="343" spans="2:2" x14ac:dyDescent="0.3">
      <c r="B343"/>
    </row>
    <row r="344" spans="2:2" x14ac:dyDescent="0.3">
      <c r="B344"/>
    </row>
    <row r="345" spans="2:2" x14ac:dyDescent="0.3">
      <c r="B345"/>
    </row>
    <row r="346" spans="2:2" x14ac:dyDescent="0.3">
      <c r="B346"/>
    </row>
    <row r="347" spans="2:2" x14ac:dyDescent="0.3">
      <c r="B347"/>
    </row>
    <row r="348" spans="2:2" x14ac:dyDescent="0.3">
      <c r="B348"/>
    </row>
    <row r="349" spans="2:2" x14ac:dyDescent="0.3">
      <c r="B349"/>
    </row>
    <row r="350" spans="2:2" x14ac:dyDescent="0.3">
      <c r="B350"/>
    </row>
    <row r="351" spans="2:2" x14ac:dyDescent="0.3">
      <c r="B351"/>
    </row>
    <row r="352" spans="2:2" x14ac:dyDescent="0.3">
      <c r="B352"/>
    </row>
    <row r="353" spans="2:2" x14ac:dyDescent="0.3">
      <c r="B353"/>
    </row>
    <row r="354" spans="2:2" x14ac:dyDescent="0.3">
      <c r="B354"/>
    </row>
    <row r="355" spans="2:2" x14ac:dyDescent="0.3">
      <c r="B355"/>
    </row>
    <row r="356" spans="2:2" x14ac:dyDescent="0.3">
      <c r="B35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8FB0B-6BD5-4D24-A855-559A5EFB685C}">
  <dimension ref="H1:T2"/>
  <sheetViews>
    <sheetView tabSelected="1" zoomScale="62" zoomScaleNormal="62" workbookViewId="0">
      <selection activeCell="H1" sqref="H1"/>
    </sheetView>
  </sheetViews>
  <sheetFormatPr defaultRowHeight="14.4" x14ac:dyDescent="0.3"/>
  <cols>
    <col min="1" max="1" width="8.88671875" customWidth="1"/>
    <col min="7" max="10" width="8.88671875" customWidth="1"/>
  </cols>
  <sheetData>
    <row r="1" spans="11:20" ht="31.2" x14ac:dyDescent="0.6">
      <c r="K1" s="9" t="s">
        <v>1417</v>
      </c>
      <c r="L1" s="8"/>
      <c r="M1" s="8"/>
      <c r="N1" s="8"/>
      <c r="O1" s="8"/>
      <c r="P1" s="8"/>
      <c r="Q1" s="8"/>
      <c r="R1" s="8"/>
      <c r="S1" s="8"/>
      <c r="T1" s="8"/>
    </row>
    <row r="2" spans="11:20" x14ac:dyDescent="0.3">
      <c r="M2" s="7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 Cleaning</vt:lpstr>
      <vt:lpstr>Pivot Tables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 na</cp:lastModifiedBy>
  <dcterms:created xsi:type="dcterms:W3CDTF">2026-06-29T10:03:59Z</dcterms:created>
  <dcterms:modified xsi:type="dcterms:W3CDTF">2026-06-29T13:40:07Z</dcterms:modified>
</cp:coreProperties>
</file>